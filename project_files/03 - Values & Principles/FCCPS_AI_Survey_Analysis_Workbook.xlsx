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40" yWindow="3040" windowWidth="18000" windowHeight="11170" tabRatio="600" firstSheet="0" activeTab="4" autoFilterDateGrouping="1"/>
  </bookViews>
  <sheets>
    <sheet xmlns:r="http://schemas.openxmlformats.org/officeDocument/2006/relationships" name="Responses_Raw" sheetId="1" state="visible" r:id="rId1"/>
    <sheet xmlns:r="http://schemas.openxmlformats.org/officeDocument/2006/relationships" name="Map_F3" sheetId="2" state="visible" r:id="rId2"/>
    <sheet xmlns:r="http://schemas.openxmlformats.org/officeDocument/2006/relationships" name="Map_TR" sheetId="3" state="visible" r:id="rId3"/>
    <sheet xmlns:r="http://schemas.openxmlformats.org/officeDocument/2006/relationships" name="PQ_Scrip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ADM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2"/>
    </font>
    <font>
      <name val="Calibri"/>
      <b val="1"/>
      <sz val="11"/>
    </font>
    <font>
      <name val="Calibri"/>
      <b val="1"/>
      <sz val="13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Responses" displayName="tblResponses" ref="A1:DV11" headerRowCount="1">
  <autoFilter ref="A1:DV11"/>
  <tableColumns count="126">
    <tableColumn id="1" name="Start time"/>
    <tableColumn id="2" name="Completion time"/>
    <tableColumn id="3" name="Name"/>
    <tableColumn id="4" name="Email"/>
    <tableColumn id="6" name="F3-01 approval — feedback channels"/>
    <tableColumn id="7" name="F3-01 proposed revision (if do not approve) — feedback channels"/>
    <tableColumn id="8" name="F3-01 TR codes (select up to 3) — feedback channels"/>
    <tableColumn id="9" name="F3-01 comment (optional) — feedback channels"/>
    <tableColumn id="10" name="F3-02 approval — pilot with monitoring"/>
    <tableColumn id="11" name="F3-02 proposed revision (if do not approve) — pilot with monitoring"/>
    <tableColumn id="12" name="F3-02 TR codes (select up to 3) — pilot with monitoring"/>
    <tableColumn id="13" name="F3-02 comment (optional) — pilot with monitoring"/>
    <tableColumn id="14" name="F3-03 approval — accountable ownership"/>
    <tableColumn id="15" name="F3-03 proposed revision (if do not approve) — accountable ownership"/>
    <tableColumn id="16" name="F3-03 TR codes (select up to 3) — accountable ownership"/>
    <tableColumn id="17" name="F3-03 comment (optional) — accountable ownership"/>
    <tableColumn id="18" name="F3-04 approval — common use-case language"/>
    <tableColumn id="19" name="F3-04 proposed revision (if do not approve) — common use-case language"/>
    <tableColumn id="20" name="F3-04 TR codes (select up to 3) — common use-case language"/>
    <tableColumn id="21" name="F3-04 comment (optional) — common use-case language"/>
    <tableColumn id="22" name="F3-05 approval — design before bans"/>
    <tableColumn id="23" name="F3-05 proposed revision (if do not approve) — design before bans"/>
    <tableColumn id="24" name="F3-05 TR codes (select up to 3) — design before bans"/>
    <tableColumn id="25" name="F3-05 comment (optional) — design before bans"/>
    <tableColumn id="26" name="F3-06 approval — detectors are advisory"/>
    <tableColumn id="27" name="F3-06 proposed revision (if do not approve) — detectors are advisory"/>
    <tableColumn id="28" name="F3-06 TR codes (select up to 3) — detectors are advisory"/>
    <tableColumn id="29" name="F3-06 comment (optional) — detectors are advisory"/>
    <tableColumn id="30" name="F3-07 approval — student disclosure"/>
    <tableColumn id="31" name="F3-07 proposed revision (if do not approve) — student disclosure"/>
    <tableColumn id="32" name="F3-07 TR codes (select up to 3) — student disclosure"/>
    <tableColumn id="33" name="F3-07 comment (optional) — student disclosure"/>
    <tableColumn id="34" name="F3-08 approval — non-AI path"/>
    <tableColumn id="35" name="F3-08 proposed revision (if do not approve) — non-AI path"/>
    <tableColumn id="36" name="F3-08 TR codes (select up to 3) — non-AI path"/>
    <tableColumn id="37" name="F3-08 comment (optional) — non-AI path"/>
    <tableColumn id="38" name="F3-09 approval — IEP/504 decisions stay human"/>
    <tableColumn id="39" name="F3-09 proposed revision (if do not approve) — IEP/504 decisions stay human"/>
    <tableColumn id="40" name="F3-09 TR codes (select up to 3) — IEP/504 decisions stay human"/>
    <tableColumn id="41" name="F3-09 comment (optional) — IEP/504 decisions stay human"/>
    <tableColumn id="42" name="F3-10 approval — access plus supports"/>
    <tableColumn id="43" name="F3-10 proposed revision (if do not approve) — access plus supports"/>
    <tableColumn id="44" name="F3-10 TR codes (select up to 3) — access plus supports"/>
    <tableColumn id="45" name="F3-10 comment (optional) — access plus supports"/>
    <tableColumn id="46" name="F3-11 approval — UDL augmentation with checks"/>
    <tableColumn id="47" name="F3-11 proposed revision (if do not approve) — UDL augmentation with checks"/>
    <tableColumn id="48" name="F3-11 TR codes (select up to 3) — UDL augmentation with checks"/>
    <tableColumn id="49" name="F3-11 comment (optional) — UDL augmentation with checks"/>
    <tableColumn id="50" name="F3-12 approval — evaluate before scaling"/>
    <tableColumn id="51" name="F3-12 proposed revision (if do not approve) — evaluate before scaling"/>
    <tableColumn id="52" name="F3-12 TR codes (select up to 3) — evaluate before scaling"/>
    <tableColumn id="53" name="F3-12 comment (optional) — evaluate before scaling"/>
    <tableColumn id="54" name="F3-13 approval — use transparency"/>
    <tableColumn id="55" name="F3-13 proposed revision (if do not approve) — use transparency"/>
    <tableColumn id="56" name="F3-13 TR codes (select up to 3) — use transparency"/>
    <tableColumn id="57" name="F3-13 comment (optional) — use transparency"/>
    <tableColumn id="58" name="F3-14 approval — pilot plus off-ramps"/>
    <tableColumn id="59" name="F3-14 proposed revision (if do not approve) — pilot plus off-ramps"/>
    <tableColumn id="60" name="F3-14 TR codes (select up to 3) — pilot plus off-ramps"/>
    <tableColumn id="61" name="F3-14 comment (optional) — pilot plus off-ramps"/>
    <tableColumn id="62" name="F3-15 approval — notice plus consent where feasible"/>
    <tableColumn id="63" name="F3-15 proposed revision (if do not approve) — notice plus consent where feasible"/>
    <tableColumn id="64" name="F3-15 TR codes (select up to 3) — notice plus consent where feasible"/>
    <tableColumn id="65" name="F3-15 comment (optional) — notice plus consent where feasible"/>
    <tableColumn id="66" name="F3-16 approval — prevent cognitive offloading"/>
    <tableColumn id="67" name="F3-16 proposed revision (if do not approve) — prevent cognitive offloading"/>
    <tableColumn id="68" name="F3-16 TR codes (select up to 3) — prevent cognitive offloading"/>
    <tableColumn id="69" name="F3-16 comment (optional) — prevent cognitive offloading"/>
    <tableColumn id="70" name="F3-17 approval — risk-based restrictions"/>
    <tableColumn id="71" name="F3-17 proposed revision (if do not approve) — risk-based restrictions"/>
    <tableColumn id="72" name="F3-17 TR codes (select up to 3) — risk-based restrictions"/>
    <tableColumn id="73" name="F3-17 comment (optional) — risk-based restrictions"/>
    <tableColumn id="74" name="F3-18 approval — AI literacy"/>
    <tableColumn id="75" name="F3-18 proposed revision (if do not approve) — AI literacy"/>
    <tableColumn id="76" name="F3-18 TR codes (select up to 3) — AI literacy"/>
    <tableColumn id="77" name="F3-18 comment (optional) — AI literacy"/>
    <tableColumn id="78" name="F3-19 approval — learning-evidence threshold"/>
    <tableColumn id="79" name="F3-19 proposed revision (if do not approve) — learning-evidence threshold"/>
    <tableColumn id="80" name="F3-19 TR codes (select up to 3) — learning-evidence threshold"/>
    <tableColumn id="81" name="F3-19 comment (optional) — learning-evidence threshold"/>
    <tableColumn id="82" name="F3-20 approval — human-centered learning"/>
    <tableColumn id="83" name="F3-20 proposed revision (if do not approve) — human-centered learning"/>
    <tableColumn id="84" name="F3-20 TR codes (select up to 3) — human-centered learning"/>
    <tableColumn id="85" name="F3-20 comment (optional) — human-centered learning"/>
    <tableColumn id="86" name="F3-21 approval — visible thinking"/>
    <tableColumn id="87" name="F3-21 proposed revision (if do not approve) — visible thinking"/>
    <tableColumn id="88" name="F3-21 TR codes (select up to 3) — visible thinking"/>
    <tableColumn id="89" name="F3-21 comment (optional) — visible thinking"/>
    <tableColumn id="90" name="F3-22 approval — teacher-owned feedback"/>
    <tableColumn id="91" name="F3-22 proposed revision (if do not approve) — teacher-owned feedback"/>
    <tableColumn id="92" name="F3-22 TR codes (select up to 3) — teacher-owned feedback"/>
    <tableColumn id="93" name="F3-22 comment (optional) — teacher-owned feedback"/>
    <tableColumn id="94" name="F3-23 approval — educator voice in governance"/>
    <tableColumn id="95" name="F3-23 proposed revision (if do not approve) — educator voice in governance"/>
    <tableColumn id="96" name="F3-23 TR codes (select up to 3) — educator voice in governance"/>
    <tableColumn id="97" name="F3-23 comment (optional) — educator voice in governance"/>
    <tableColumn id="98" name="T1 preferred policy posture"/>
    <tableColumn id="99" name="T1 TR codes (select up to 3)"/>
    <tableColumn id="100" name="T1 comment (optional)"/>
    <tableColumn id="101" name="T1 — What information would change your view?"/>
    <tableColumn id="102" name="T2 preferred policy posture"/>
    <tableColumn id="103" name="T2 TR codes (select up to 3)"/>
    <tableColumn id="104" name="T2 comment (optional)"/>
    <tableColumn id="105" name="T2 — What information would change your view?"/>
    <tableColumn id="106" name="T3 preferred policy posture"/>
    <tableColumn id="107" name="T3 TR codes (select up to 3)"/>
    <tableColumn id="108" name="T3 comment (optional)"/>
    <tableColumn id="109" name="T3 — What information would change your view?"/>
    <tableColumn id="110" name="T4 preferred policy posture"/>
    <tableColumn id="111" name="T4 TR codes (select up to 3)"/>
    <tableColumn id="112" name="T4 comment (optional)"/>
    <tableColumn id="113" name="T4 — What information would change your view?"/>
    <tableColumn id="114" name="T5 preferred policy posture"/>
    <tableColumn id="115" name="T5 TR codes (select up to 3)"/>
    <tableColumn id="116" name="T5 comment (optional)"/>
    <tableColumn id="117" name="T5 — What information would change your view?"/>
    <tableColumn id="118" name="T6 preferred policy posture"/>
    <tableColumn id="119" name="T6 TR codes (select up to 3)"/>
    <tableColumn id="120" name="T6 comment (optional)"/>
    <tableColumn id="121" name="T6 — What information would change your view?"/>
    <tableColumn id="122" name="T7 preferred policy posture"/>
    <tableColumn id="123" name="T7 TR codes (select up to 3)"/>
    <tableColumn id="124" name="T7 comment (optional)"/>
    <tableColumn id="125" name="T7 — What information would change your view?"/>
    <tableColumn id="126" name="F4 selection — choose up to 12 principle candidates"/>
    <tableColumn id="127" name="F4 top 3 priorities (optional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Map_F3" displayName="tblMap_F3" ref="A1:D24" headerRowCount="1">
  <autoFilter ref="A1:D24"/>
  <tableColumns count="4">
    <tableColumn id="1" name="CandidateID"/>
    <tableColumn id="2" name="Domain"/>
    <tableColumn id="3" name="ShortName"/>
    <tableColumn id="4" name="MergeTarge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p_TR" displayName="tblMap_TR" ref="A1:B9" headerRowCount="1">
  <autoFilter ref="A1:B9"/>
  <tableColumns count="2">
    <tableColumn id="1" name="TR"/>
    <tableColumn id="2" name="Lens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1"/>
  <sheetViews>
    <sheetView showGridLines="0" workbookViewId="0">
      <pane ySplit="1" topLeftCell="A8" activePane="bottomLeft" state="frozen"/>
      <selection pane="bottomLeft" activeCell="E1" sqref="E1:E1048576"/>
    </sheetView>
  </sheetViews>
  <sheetFormatPr baseColWidth="8" defaultRowHeight="14.5"/>
  <cols>
    <col width="19" customWidth="1" min="1" max="2"/>
    <col width="28" customWidth="1" min="3" max="3"/>
    <col width="16" customWidth="1" min="4" max="4"/>
    <col width="20" customWidth="1" min="5" max="5"/>
    <col width="40" customWidth="1" min="6" max="6"/>
    <col width="28" customWidth="1" min="7" max="7"/>
    <col width="34" customWidth="1" min="8" max="8"/>
    <col width="20" customWidth="1" min="9" max="9"/>
    <col width="40" customWidth="1" min="10" max="10"/>
    <col width="28" customWidth="1" min="11" max="11"/>
    <col width="34" customWidth="1" min="12" max="12"/>
    <col width="20" customWidth="1" min="13" max="13"/>
    <col width="40" customWidth="1" min="14" max="14"/>
    <col width="28" customWidth="1" min="15" max="15"/>
    <col width="34" customWidth="1" min="16" max="16"/>
    <col width="20" customWidth="1" min="17" max="17"/>
    <col width="40" customWidth="1" min="18" max="18"/>
    <col width="28" customWidth="1" min="19" max="19"/>
    <col width="34" customWidth="1" min="20" max="20"/>
    <col width="20" customWidth="1" min="21" max="21"/>
    <col width="40" customWidth="1" min="22" max="22"/>
    <col width="28" customWidth="1" min="23" max="23"/>
    <col width="34" customWidth="1" min="24" max="24"/>
    <col width="20" customWidth="1" min="25" max="25"/>
    <col width="40" customWidth="1" min="26" max="26"/>
    <col width="28" customWidth="1" min="27" max="27"/>
    <col width="34" customWidth="1" min="28" max="28"/>
    <col width="20" customWidth="1" min="29" max="29"/>
    <col width="40" customWidth="1" min="30" max="30"/>
    <col width="28" customWidth="1" min="31" max="31"/>
    <col width="34" customWidth="1" min="32" max="32"/>
    <col width="20" customWidth="1" min="33" max="33"/>
    <col width="40" customWidth="1" min="34" max="34"/>
    <col width="28" customWidth="1" min="35" max="35"/>
    <col width="34" customWidth="1" min="36" max="36"/>
    <col width="20" customWidth="1" min="37" max="37"/>
    <col width="40" customWidth="1" min="38" max="38"/>
    <col width="28" customWidth="1" min="39" max="39"/>
    <col width="34" customWidth="1" min="40" max="40"/>
    <col width="20" customWidth="1" min="41" max="41"/>
    <col width="40" customWidth="1" min="42" max="42"/>
    <col width="28" customWidth="1" min="43" max="43"/>
    <col width="34" customWidth="1" min="44" max="44"/>
    <col width="20" customWidth="1" min="45" max="45"/>
    <col width="40" customWidth="1" min="46" max="46"/>
    <col width="28" customWidth="1" min="47" max="47"/>
    <col width="34" customWidth="1" min="48" max="48"/>
    <col width="20" customWidth="1" min="49" max="49"/>
    <col width="40" customWidth="1" min="50" max="50"/>
    <col width="28" customWidth="1" min="51" max="51"/>
    <col width="34" customWidth="1" min="52" max="52"/>
    <col width="20" customWidth="1" min="53" max="53"/>
    <col width="40" customWidth="1" min="54" max="54"/>
    <col width="28" customWidth="1" min="55" max="55"/>
    <col width="34" customWidth="1" min="56" max="56"/>
    <col width="20" customWidth="1" min="57" max="57"/>
    <col width="40" customWidth="1" min="58" max="58"/>
    <col width="28" customWidth="1" min="59" max="59"/>
    <col width="34" customWidth="1" min="60" max="60"/>
    <col width="20" customWidth="1" min="61" max="61"/>
    <col width="40" customWidth="1" min="62" max="62"/>
    <col width="28" customWidth="1" min="63" max="63"/>
    <col width="34" customWidth="1" min="64" max="64"/>
    <col width="20" customWidth="1" min="65" max="65"/>
    <col width="40" customWidth="1" min="66" max="66"/>
    <col width="28" customWidth="1" min="67" max="67"/>
    <col width="34" customWidth="1" min="68" max="68"/>
    <col width="20" customWidth="1" min="69" max="69"/>
    <col width="40" customWidth="1" min="70" max="70"/>
    <col width="28" customWidth="1" min="71" max="71"/>
    <col width="34" customWidth="1" min="72" max="72"/>
    <col width="20" customWidth="1" min="73" max="73"/>
    <col width="40" customWidth="1" min="74" max="74"/>
    <col width="28" customWidth="1" min="75" max="75"/>
    <col width="34" customWidth="1" min="76" max="76"/>
    <col width="20" customWidth="1" min="77" max="77"/>
    <col width="40" customWidth="1" min="78" max="78"/>
    <col width="28" customWidth="1" min="79" max="79"/>
    <col width="34" customWidth="1" min="80" max="80"/>
    <col width="20" customWidth="1" min="81" max="81"/>
    <col width="40" customWidth="1" min="82" max="82"/>
    <col width="28" customWidth="1" min="83" max="83"/>
    <col width="34" customWidth="1" min="84" max="84"/>
    <col width="20" customWidth="1" min="85" max="85"/>
    <col width="40" customWidth="1" min="86" max="86"/>
    <col width="28" customWidth="1" min="87" max="87"/>
    <col width="34" customWidth="1" min="88" max="88"/>
    <col width="20" customWidth="1" min="89" max="89"/>
    <col width="40" customWidth="1" min="90" max="90"/>
    <col width="28" customWidth="1" min="91" max="91"/>
    <col width="34" customWidth="1" min="92" max="92"/>
    <col width="20" customWidth="1" min="93" max="93"/>
    <col width="40" customWidth="1" min="94" max="94"/>
    <col width="28" customWidth="1" min="95" max="95"/>
    <col width="34" customWidth="1" min="96" max="96"/>
    <col width="26" customWidth="1" min="97" max="97"/>
    <col width="28" customWidth="1" min="98" max="98"/>
    <col width="34" customWidth="1" min="99" max="100"/>
    <col width="26" customWidth="1" min="101" max="101"/>
    <col width="28" customWidth="1" min="102" max="102"/>
    <col width="34" customWidth="1" min="103" max="104"/>
    <col width="26" customWidth="1" min="105" max="105"/>
    <col width="28" customWidth="1" min="106" max="106"/>
    <col width="34" customWidth="1" min="107" max="108"/>
    <col width="26" customWidth="1" min="109" max="109"/>
    <col width="28" customWidth="1" min="110" max="110"/>
    <col width="34" customWidth="1" min="111" max="112"/>
    <col width="26" customWidth="1" min="113" max="113"/>
    <col width="28" customWidth="1" min="114" max="114"/>
    <col width="34" customWidth="1" min="115" max="116"/>
    <col width="26" customWidth="1" min="117" max="117"/>
    <col width="28" customWidth="1" min="118" max="118"/>
    <col width="34" customWidth="1" min="119" max="120"/>
    <col width="26" customWidth="1" min="121" max="121"/>
    <col width="28" customWidth="1" min="122" max="122"/>
    <col width="34" customWidth="1" min="123" max="124"/>
    <col width="44" customWidth="1" min="125" max="125"/>
    <col width="26" customWidth="1" min="126" max="126"/>
  </cols>
  <sheetData>
    <row r="1" ht="43.5" customHeight="1">
      <c r="A1" s="1" t="inlineStr">
        <is>
          <t>Start time</t>
        </is>
      </c>
      <c r="B1" s="1" t="inlineStr">
        <is>
          <t>Completion time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F3-01 approval — feedback channels</t>
        </is>
      </c>
      <c r="F1" s="1" t="inlineStr">
        <is>
          <t>F3-01 proposed revision (if do not approve) — feedback channels</t>
        </is>
      </c>
      <c r="G1" s="1" t="inlineStr">
        <is>
          <t>F3-01 TR codes (select up to 3) — feedback channels</t>
        </is>
      </c>
      <c r="H1" s="1" t="inlineStr">
        <is>
          <t>F3-01 comment (optional) — feedback channels</t>
        </is>
      </c>
      <c r="I1" s="1" t="inlineStr">
        <is>
          <t>F3-02 approval — pilot with monitoring</t>
        </is>
      </c>
      <c r="J1" s="1" t="inlineStr">
        <is>
          <t>F3-02 proposed revision (if do not approve) — pilot with monitoring</t>
        </is>
      </c>
      <c r="K1" s="1" t="inlineStr">
        <is>
          <t>F3-02 TR codes (select up to 3) — pilot with monitoring</t>
        </is>
      </c>
      <c r="L1" s="1" t="inlineStr">
        <is>
          <t>F3-02 comment (optional) — pilot with monitoring</t>
        </is>
      </c>
      <c r="M1" s="1" t="inlineStr">
        <is>
          <t>F3-03 approval — accountable ownership</t>
        </is>
      </c>
      <c r="N1" s="1" t="inlineStr">
        <is>
          <t>F3-03 proposed revision (if do not approve) — accountable ownership</t>
        </is>
      </c>
      <c r="O1" s="1" t="inlineStr">
        <is>
          <t>F3-03 TR codes (select up to 3) — accountable ownership</t>
        </is>
      </c>
      <c r="P1" s="1" t="inlineStr">
        <is>
          <t>F3-03 comment (optional) — accountable ownership</t>
        </is>
      </c>
      <c r="Q1" s="1" t="inlineStr">
        <is>
          <t>F3-04 approval — common use-case language</t>
        </is>
      </c>
      <c r="R1" s="1" t="inlineStr">
        <is>
          <t>F3-04 proposed revision (if do not approve) — common use-case language</t>
        </is>
      </c>
      <c r="S1" s="1" t="inlineStr">
        <is>
          <t>F3-04 TR codes (select up to 3) — common use-case language</t>
        </is>
      </c>
      <c r="T1" s="1" t="inlineStr">
        <is>
          <t>F3-04 comment (optional) — common use-case language</t>
        </is>
      </c>
      <c r="U1" s="1" t="inlineStr">
        <is>
          <t>F3-05 approval — design before bans</t>
        </is>
      </c>
      <c r="V1" s="1" t="inlineStr">
        <is>
          <t>F3-05 proposed revision (if do not approve) — design before bans</t>
        </is>
      </c>
      <c r="W1" s="1" t="inlineStr">
        <is>
          <t>F3-05 TR codes (select up to 3) — design before bans</t>
        </is>
      </c>
      <c r="X1" s="1" t="inlineStr">
        <is>
          <t>F3-05 comment (optional) — design before bans</t>
        </is>
      </c>
      <c r="Y1" s="1" t="inlineStr">
        <is>
          <t>F3-06 approval — detectors are advisory</t>
        </is>
      </c>
      <c r="Z1" s="1" t="inlineStr">
        <is>
          <t>F3-06 proposed revision (if do not approve) — detectors are advisory</t>
        </is>
      </c>
      <c r="AA1" s="1" t="inlineStr">
        <is>
          <t>F3-06 TR codes (select up to 3) — detectors are advisory</t>
        </is>
      </c>
      <c r="AB1" s="1" t="inlineStr">
        <is>
          <t>F3-06 comment (optional) — detectors are advisory</t>
        </is>
      </c>
      <c r="AC1" s="1" t="inlineStr">
        <is>
          <t>F3-07 approval — student disclosure</t>
        </is>
      </c>
      <c r="AD1" s="1" t="inlineStr">
        <is>
          <t>F3-07 proposed revision (if do not approve) — student disclosure</t>
        </is>
      </c>
      <c r="AE1" s="1" t="inlineStr">
        <is>
          <t>F3-07 TR codes (select up to 3) — student disclosure</t>
        </is>
      </c>
      <c r="AF1" s="1" t="inlineStr">
        <is>
          <t>F3-07 comment (optional) — student disclosure</t>
        </is>
      </c>
      <c r="AG1" s="1" t="inlineStr">
        <is>
          <t>F3-08 approval — non-AI path</t>
        </is>
      </c>
      <c r="AH1" s="1" t="inlineStr">
        <is>
          <t>F3-08 proposed revision (if do not approve) — non-AI path</t>
        </is>
      </c>
      <c r="AI1" s="1" t="inlineStr">
        <is>
          <t>F3-08 TR codes (select up to 3) — non-AI path</t>
        </is>
      </c>
      <c r="AJ1" s="1" t="inlineStr">
        <is>
          <t>F3-08 comment (optional) — non-AI path</t>
        </is>
      </c>
      <c r="AK1" s="1" t="inlineStr">
        <is>
          <t>F3-09 approval — IEP/504 decisions stay human</t>
        </is>
      </c>
      <c r="AL1" s="1" t="inlineStr">
        <is>
          <t>F3-09 proposed revision (if do not approve) — IEP/504 decisions stay human</t>
        </is>
      </c>
      <c r="AM1" s="1" t="inlineStr">
        <is>
          <t>F3-09 TR codes (select up to 3) — IEP/504 decisions stay human</t>
        </is>
      </c>
      <c r="AN1" s="1" t="inlineStr">
        <is>
          <t>F3-09 comment (optional) — IEP/504 decisions stay human</t>
        </is>
      </c>
      <c r="AO1" s="1" t="inlineStr">
        <is>
          <t>F3-10 approval — access plus supports</t>
        </is>
      </c>
      <c r="AP1" s="1" t="inlineStr">
        <is>
          <t>F3-10 proposed revision (if do not approve) — access plus supports</t>
        </is>
      </c>
      <c r="AQ1" s="1" t="inlineStr">
        <is>
          <t>F3-10 TR codes (select up to 3) — access plus supports</t>
        </is>
      </c>
      <c r="AR1" s="1" t="inlineStr">
        <is>
          <t>F3-10 comment (optional) — access plus supports</t>
        </is>
      </c>
      <c r="AS1" s="1" t="inlineStr">
        <is>
          <t>F3-11 approval — UDL augmentation with checks</t>
        </is>
      </c>
      <c r="AT1" s="1" t="inlineStr">
        <is>
          <t>F3-11 proposed revision (if do not approve) — UDL augmentation with checks</t>
        </is>
      </c>
      <c r="AU1" s="1" t="inlineStr">
        <is>
          <t>F3-11 TR codes (select up to 3) — UDL augmentation with checks</t>
        </is>
      </c>
      <c r="AV1" s="1" t="inlineStr">
        <is>
          <t>F3-11 comment (optional) — UDL augmentation with checks</t>
        </is>
      </c>
      <c r="AW1" s="1" t="inlineStr">
        <is>
          <t>F3-12 approval — evaluate before scaling</t>
        </is>
      </c>
      <c r="AX1" s="1" t="inlineStr">
        <is>
          <t>F3-12 proposed revision (if do not approve) — evaluate before scaling</t>
        </is>
      </c>
      <c r="AY1" s="1" t="inlineStr">
        <is>
          <t>F3-12 TR codes (select up to 3) — evaluate before scaling</t>
        </is>
      </c>
      <c r="AZ1" s="1" t="inlineStr">
        <is>
          <t>F3-12 comment (optional) — evaluate before scaling</t>
        </is>
      </c>
      <c r="BA1" s="1" t="inlineStr">
        <is>
          <t>F3-13 approval — use transparency</t>
        </is>
      </c>
      <c r="BB1" s="1" t="inlineStr">
        <is>
          <t>F3-13 proposed revision (if do not approve) — use transparency</t>
        </is>
      </c>
      <c r="BC1" s="1" t="inlineStr">
        <is>
          <t>F3-13 TR codes (select up to 3) — use transparency</t>
        </is>
      </c>
      <c r="BD1" s="1" t="inlineStr">
        <is>
          <t>F3-13 comment (optional) — use transparency</t>
        </is>
      </c>
      <c r="BE1" s="1" t="inlineStr">
        <is>
          <t>F3-14 approval — pilot plus off-ramps</t>
        </is>
      </c>
      <c r="BF1" s="1" t="inlineStr">
        <is>
          <t>F3-14 proposed revision (if do not approve) — pilot plus off-ramps</t>
        </is>
      </c>
      <c r="BG1" s="1" t="inlineStr">
        <is>
          <t>F3-14 TR codes (select up to 3) — pilot plus off-ramps</t>
        </is>
      </c>
      <c r="BH1" s="1" t="inlineStr">
        <is>
          <t>F3-14 comment (optional) — pilot plus off-ramps</t>
        </is>
      </c>
      <c r="BI1" s="1" t="inlineStr">
        <is>
          <t>F3-15 approval — notice plus consent where feasible</t>
        </is>
      </c>
      <c r="BJ1" s="1" t="inlineStr">
        <is>
          <t>F3-15 proposed revision (if do not approve) — notice plus consent where feasible</t>
        </is>
      </c>
      <c r="BK1" s="1" t="inlineStr">
        <is>
          <t>F3-15 TR codes (select up to 3) — notice plus consent where feasible</t>
        </is>
      </c>
      <c r="BL1" s="1" t="inlineStr">
        <is>
          <t>F3-15 comment (optional) — notice plus consent where feasible</t>
        </is>
      </c>
      <c r="BM1" s="1" t="inlineStr">
        <is>
          <t>F3-16 approval — prevent cognitive offloading</t>
        </is>
      </c>
      <c r="BN1" s="1" t="inlineStr">
        <is>
          <t>F3-16 proposed revision (if do not approve) — prevent cognitive offloading</t>
        </is>
      </c>
      <c r="BO1" s="1" t="inlineStr">
        <is>
          <t>F3-16 TR codes (select up to 3) — prevent cognitive offloading</t>
        </is>
      </c>
      <c r="BP1" s="1" t="inlineStr">
        <is>
          <t>F3-16 comment (optional) — prevent cognitive offloading</t>
        </is>
      </c>
      <c r="BQ1" s="1" t="inlineStr">
        <is>
          <t>F3-17 approval — risk-based restrictions</t>
        </is>
      </c>
      <c r="BR1" s="1" t="inlineStr">
        <is>
          <t>F3-17 proposed revision (if do not approve) — risk-based restrictions</t>
        </is>
      </c>
      <c r="BS1" s="1" t="inlineStr">
        <is>
          <t>F3-17 TR codes (select up to 3) — risk-based restrictions</t>
        </is>
      </c>
      <c r="BT1" s="1" t="inlineStr">
        <is>
          <t>F3-17 comment (optional) — risk-based restrictions</t>
        </is>
      </c>
      <c r="BU1" s="1" t="inlineStr">
        <is>
          <t>F3-18 approval — AI literacy</t>
        </is>
      </c>
      <c r="BV1" s="1" t="inlineStr">
        <is>
          <t>F3-18 proposed revision (if do not approve) — AI literacy</t>
        </is>
      </c>
      <c r="BW1" s="1" t="inlineStr">
        <is>
          <t>F3-18 TR codes (select up to 3) — AI literacy</t>
        </is>
      </c>
      <c r="BX1" s="1" t="inlineStr">
        <is>
          <t>F3-18 comment (optional) — AI literacy</t>
        </is>
      </c>
      <c r="BY1" s="1" t="inlineStr">
        <is>
          <t>F3-19 approval — learning-evidence threshold</t>
        </is>
      </c>
      <c r="BZ1" s="1" t="inlineStr">
        <is>
          <t>F3-19 proposed revision (if do not approve) — learning-evidence threshold</t>
        </is>
      </c>
      <c r="CA1" s="1" t="inlineStr">
        <is>
          <t>F3-19 TR codes (select up to 3) — learning-evidence threshold</t>
        </is>
      </c>
      <c r="CB1" s="1" t="inlineStr">
        <is>
          <t>F3-19 comment (optional) — learning-evidence threshold</t>
        </is>
      </c>
      <c r="CC1" s="1" t="inlineStr">
        <is>
          <t>F3-20 approval — human-centered learning</t>
        </is>
      </c>
      <c r="CD1" s="1" t="inlineStr">
        <is>
          <t>F3-20 proposed revision (if do not approve) — human-centered learning</t>
        </is>
      </c>
      <c r="CE1" s="1" t="inlineStr">
        <is>
          <t>F3-20 TR codes (select up to 3) — human-centered learning</t>
        </is>
      </c>
      <c r="CF1" s="1" t="inlineStr">
        <is>
          <t>F3-20 comment (optional) — human-centered learning</t>
        </is>
      </c>
      <c r="CG1" s="1" t="inlineStr">
        <is>
          <t>F3-21 approval — visible thinking</t>
        </is>
      </c>
      <c r="CH1" s="1" t="inlineStr">
        <is>
          <t>F3-21 proposed revision (if do not approve) — visible thinking</t>
        </is>
      </c>
      <c r="CI1" s="1" t="inlineStr">
        <is>
          <t>F3-21 TR codes (select up to 3) — visible thinking</t>
        </is>
      </c>
      <c r="CJ1" s="1" t="inlineStr">
        <is>
          <t>F3-21 comment (optional) — visible thinking</t>
        </is>
      </c>
      <c r="CK1" s="1" t="inlineStr">
        <is>
          <t>F3-22 approval — teacher-owned feedback</t>
        </is>
      </c>
      <c r="CL1" s="1" t="inlineStr">
        <is>
          <t>F3-22 proposed revision (if do not approve) — teacher-owned feedback</t>
        </is>
      </c>
      <c r="CM1" s="1" t="inlineStr">
        <is>
          <t>F3-22 TR codes (select up to 3) — teacher-owned feedback</t>
        </is>
      </c>
      <c r="CN1" s="1" t="inlineStr">
        <is>
          <t>F3-22 comment (optional) — teacher-owned feedback</t>
        </is>
      </c>
      <c r="CO1" s="1" t="inlineStr">
        <is>
          <t>F3-23 approval — educator voice in governance</t>
        </is>
      </c>
      <c r="CP1" s="1" t="inlineStr">
        <is>
          <t>F3-23 proposed revision (if do not approve) — educator voice in governance</t>
        </is>
      </c>
      <c r="CQ1" s="1" t="inlineStr">
        <is>
          <t>F3-23 TR codes (select up to 3) — educator voice in governance</t>
        </is>
      </c>
      <c r="CR1" s="1" t="inlineStr">
        <is>
          <t>F3-23 comment (optional) — educator voice in governance</t>
        </is>
      </c>
      <c r="CS1" s="1" t="inlineStr">
        <is>
          <t>T1 preferred policy posture</t>
        </is>
      </c>
      <c r="CT1" s="1" t="inlineStr">
        <is>
          <t>T1 TR codes (select up to 3)</t>
        </is>
      </c>
      <c r="CU1" s="1" t="inlineStr">
        <is>
          <t>T1 comment (optional)</t>
        </is>
      </c>
      <c r="CV1" s="1" t="inlineStr">
        <is>
          <t>T1 — What information would change your view?</t>
        </is>
      </c>
      <c r="CW1" s="1" t="inlineStr">
        <is>
          <t>T2 preferred policy posture</t>
        </is>
      </c>
      <c r="CX1" s="1" t="inlineStr">
        <is>
          <t>T2 TR codes (select up to 3)</t>
        </is>
      </c>
      <c r="CY1" s="1" t="inlineStr">
        <is>
          <t>T2 comment (optional)</t>
        </is>
      </c>
      <c r="CZ1" s="1" t="inlineStr">
        <is>
          <t>T2 — What information would change your view?</t>
        </is>
      </c>
      <c r="DA1" s="1" t="inlineStr">
        <is>
          <t>T3 preferred policy posture</t>
        </is>
      </c>
      <c r="DB1" s="1" t="inlineStr">
        <is>
          <t>T3 TR codes (select up to 3)</t>
        </is>
      </c>
      <c r="DC1" s="1" t="inlineStr">
        <is>
          <t>T3 comment (optional)</t>
        </is>
      </c>
      <c r="DD1" s="1" t="inlineStr">
        <is>
          <t>T3 — What information would change your view?</t>
        </is>
      </c>
      <c r="DE1" s="1" t="inlineStr">
        <is>
          <t>T4 preferred policy posture</t>
        </is>
      </c>
      <c r="DF1" s="1" t="inlineStr">
        <is>
          <t>T4 TR codes (select up to 3)</t>
        </is>
      </c>
      <c r="DG1" s="1" t="inlineStr">
        <is>
          <t>T4 comment (optional)</t>
        </is>
      </c>
      <c r="DH1" s="1" t="inlineStr">
        <is>
          <t>T4 — What information would change your view?</t>
        </is>
      </c>
      <c r="DI1" s="1" t="inlineStr">
        <is>
          <t>T5 preferred policy posture</t>
        </is>
      </c>
      <c r="DJ1" s="1" t="inlineStr">
        <is>
          <t>T5 TR codes (select up to 3)</t>
        </is>
      </c>
      <c r="DK1" s="1" t="inlineStr">
        <is>
          <t>T5 comment (optional)</t>
        </is>
      </c>
      <c r="DL1" s="1" t="inlineStr">
        <is>
          <t>T5 — What information would change your view?</t>
        </is>
      </c>
      <c r="DM1" s="1" t="inlineStr">
        <is>
          <t>T6 preferred policy posture</t>
        </is>
      </c>
      <c r="DN1" s="1" t="inlineStr">
        <is>
          <t>T6 TR codes (select up to 3)</t>
        </is>
      </c>
      <c r="DO1" s="1" t="inlineStr">
        <is>
          <t>T6 comment (optional)</t>
        </is>
      </c>
      <c r="DP1" s="1" t="inlineStr">
        <is>
          <t>T6 — What information would change your view?</t>
        </is>
      </c>
      <c r="DQ1" s="1" t="inlineStr">
        <is>
          <t>T7 preferred policy posture</t>
        </is>
      </c>
      <c r="DR1" s="1" t="inlineStr">
        <is>
          <t>T7 TR codes (select up to 3)</t>
        </is>
      </c>
      <c r="DS1" s="1" t="inlineStr">
        <is>
          <t>T7 comment (optional)</t>
        </is>
      </c>
      <c r="DT1" s="1" t="inlineStr">
        <is>
          <t>T7 — What information would change your view?</t>
        </is>
      </c>
      <c r="DU1" s="1" t="inlineStr">
        <is>
          <t>F4 selection — choose up to 12 principle candidates</t>
        </is>
      </c>
      <c r="DV1" s="1" t="inlineStr">
        <is>
          <t>F4 top 3 priorities (optional)</t>
        </is>
      </c>
    </row>
    <row r="2" ht="87" customHeight="1">
      <c r="A2" s="2" t="n">
        <v>46074.375</v>
      </c>
      <c r="B2" s="2" t="n">
        <v>46074.38402777778</v>
      </c>
      <c r="C2" s="3" t="inlineStr">
        <is>
          <t>TEST 01</t>
        </is>
      </c>
      <c r="D2" s="3" t="inlineStr">
        <is>
          <t>test01@example.org</t>
        </is>
      </c>
      <c r="E2" s="3" t="inlineStr">
        <is>
          <t>Approve</t>
        </is>
      </c>
      <c r="F2" s="3" t="n"/>
      <c r="G2" s="3" t="inlineStr">
        <is>
          <t>TR3 — Equity, accessibility &amp; inclusion</t>
        </is>
      </c>
      <c r="H2" s="3" t="n"/>
      <c r="I2" s="3" t="inlineStr">
        <is>
          <t>Do not approve</t>
        </is>
      </c>
      <c r="J2" s="3" t="inlineStr">
        <is>
          <t>pilot with monitoring.
FCCPS will … (proposed by TEST 01)</t>
        </is>
      </c>
      <c r="K2" s="3" t="inlineStr">
        <is>
          <t>TR3 — Equity, accessibility &amp; inclusion; TR1 — Learning impact &amp; deep skills; TR4 — Privacy, security &amp; data minimization</t>
        </is>
      </c>
      <c r="L2" s="3" t="inlineStr">
        <is>
          <t>Concern: clarify scope / add guardrail.</t>
        </is>
      </c>
      <c r="M2" s="3" t="inlineStr">
        <is>
          <t>Approve</t>
        </is>
      </c>
      <c r="N2" s="3" t="n"/>
      <c r="O2" s="3" t="n"/>
      <c r="P2" s="3" t="n"/>
      <c r="Q2" s="3" t="inlineStr">
        <is>
          <t>Approve</t>
        </is>
      </c>
      <c r="R2" s="3" t="n"/>
      <c r="S2" s="3" t="inlineStr">
        <is>
          <t>TR8 — Evidence, monitoring &amp; reversibility; TR6 — Transparency, accountability &amp; community trust; TR7 — Feasibility, workload &amp; sustainability</t>
        </is>
      </c>
      <c r="T2" s="3" t="n"/>
      <c r="U2" s="3" t="inlineStr">
        <is>
          <t>Approve</t>
        </is>
      </c>
      <c r="V2" s="3" t="n"/>
      <c r="W2" s="3" t="inlineStr">
        <is>
          <t>TR1 — Learning impact &amp; deep skills</t>
        </is>
      </c>
      <c r="X2" s="3" t="n"/>
      <c r="Y2" s="3" t="inlineStr">
        <is>
          <t>Do not approve</t>
        </is>
      </c>
      <c r="Z2" s="3" t="inlineStr">
        <is>
          <t>detectors are advisory.
FCCPS will … (proposed by TEST 01)</t>
        </is>
      </c>
      <c r="AA2" s="3" t="n"/>
      <c r="AB2" s="3" t="inlineStr">
        <is>
          <t>Concern: clarify scope / add guardrail.</t>
        </is>
      </c>
      <c r="AC2" s="3" t="inlineStr">
        <is>
          <t>Approve</t>
        </is>
      </c>
      <c r="AD2" s="3" t="n"/>
      <c r="AE2" s="3" t="inlineStr">
        <is>
          <t>TR1 — Learning impact &amp; deep skills</t>
        </is>
      </c>
      <c r="AF2" s="3" t="n"/>
      <c r="AG2" s="3" t="inlineStr">
        <is>
          <t>Approve</t>
        </is>
      </c>
      <c r="AH2" s="3" t="n"/>
      <c r="AI2" s="3" t="inlineStr">
        <is>
          <t>TR8 — Evidence, monitoring &amp; reversibility; TR5 — Student safety &amp; developmental appropriateness</t>
        </is>
      </c>
      <c r="AJ2" s="3" t="n"/>
      <c r="AK2" s="3" t="inlineStr">
        <is>
          <t>Do not approve</t>
        </is>
      </c>
      <c r="AL2" s="3" t="inlineStr">
        <is>
          <t>IEP/504 decisions stay human.
FCCPS will … (proposed by TEST 01)</t>
        </is>
      </c>
      <c r="AM2" s="3" t="inlineStr">
        <is>
          <t>TR5 — Student safety &amp; developmental appropriateness</t>
        </is>
      </c>
      <c r="AN2" s="3" t="inlineStr">
        <is>
          <t>Concern: clarify scope / add guardrail.</t>
        </is>
      </c>
      <c r="AO2" s="3" t="inlineStr">
        <is>
          <t>Approve</t>
        </is>
      </c>
      <c r="AP2" s="3" t="n"/>
      <c r="AQ2" s="3" t="inlineStr">
        <is>
          <t>TR5 — Student safety &amp; developmental appropriateness; TR4 — Privacy, security &amp; data minimization; TR8 — Evidence, monitoring &amp; reversibility</t>
        </is>
      </c>
      <c r="AR2" s="3" t="n"/>
      <c r="AS2" s="3" t="inlineStr">
        <is>
          <t>Do not approve</t>
        </is>
      </c>
      <c r="AT2" s="3" t="inlineStr">
        <is>
          <t>UDL augmentation with checks.
FCCPS will … (proposed by TEST 01)</t>
        </is>
      </c>
      <c r="AU2" s="3" t="n"/>
      <c r="AV2" s="3" t="n"/>
      <c r="AW2" s="3" t="inlineStr">
        <is>
          <t>Approve</t>
        </is>
      </c>
      <c r="AX2" s="3" t="n"/>
      <c r="AY2" s="3" t="inlineStr">
        <is>
          <t>TR5 — Student safety &amp; developmental appropriateness</t>
        </is>
      </c>
      <c r="AZ2" s="3" t="n"/>
      <c r="BA2" s="3" t="inlineStr">
        <is>
          <t>Approve</t>
        </is>
      </c>
      <c r="BB2" s="3" t="n"/>
      <c r="BC2" s="3" t="n"/>
      <c r="BD2" s="3" t="n"/>
      <c r="BE2" s="3" t="inlineStr">
        <is>
          <t>Approve</t>
        </is>
      </c>
      <c r="BF2" s="3" t="n"/>
      <c r="BG2" s="3" t="inlineStr">
        <is>
          <t>TR7 — Feasibility, workload &amp; sustainability; TR1 — Learning impact &amp; deep skills</t>
        </is>
      </c>
      <c r="BH2" s="3" t="n"/>
      <c r="BI2" s="3" t="inlineStr">
        <is>
          <t>Do not approve</t>
        </is>
      </c>
      <c r="BJ2" s="3" t="inlineStr">
        <is>
          <t>notice plus consent where feasible.
FCCPS will … (proposed by TEST 01)</t>
        </is>
      </c>
      <c r="BK2" s="3" t="n"/>
      <c r="BL2" s="3" t="inlineStr">
        <is>
          <t>Concern: clarify scope / add guardrail.</t>
        </is>
      </c>
      <c r="BM2" s="3" t="inlineStr">
        <is>
          <t>Do not approve</t>
        </is>
      </c>
      <c r="BN2" s="3" t="inlineStr">
        <is>
          <t>prevent cognitive offloading.
FCCPS will … (proposed by TEST 01)</t>
        </is>
      </c>
      <c r="BO2" s="3" t="n"/>
      <c r="BP2" s="3" t="inlineStr">
        <is>
          <t>Concern: clarify scope / add guardrail.</t>
        </is>
      </c>
      <c r="BQ2" s="3" t="inlineStr">
        <is>
          <t>Do not approve</t>
        </is>
      </c>
      <c r="BR2" s="3" t="inlineStr">
        <is>
          <t>risk-based restrictions.
FCCPS will … (proposed by TEST 01)</t>
        </is>
      </c>
      <c r="BS2" s="3" t="inlineStr">
        <is>
          <t>TR7 — Feasibility, workload &amp; sustainability; TR1 — Learning impact &amp; deep skills; TR5 — Student safety &amp; developmental appropriateness</t>
        </is>
      </c>
      <c r="BT2" s="3" t="inlineStr">
        <is>
          <t>Concern: clarify scope / add guardrail.</t>
        </is>
      </c>
      <c r="BU2" s="3" t="inlineStr">
        <is>
          <t>Approve</t>
        </is>
      </c>
      <c r="BV2" s="3" t="n"/>
      <c r="BW2" s="3" t="inlineStr">
        <is>
          <t>TR6 — Transparency, accountability &amp; community trust; TR1 — Learning impact &amp; deep skills</t>
        </is>
      </c>
      <c r="BX2" s="3" t="n"/>
      <c r="BY2" s="3" t="inlineStr">
        <is>
          <t>Approve</t>
        </is>
      </c>
      <c r="BZ2" s="3" t="n"/>
      <c r="CA2" s="3" t="n"/>
      <c r="CB2" s="3" t="n"/>
      <c r="CC2" s="3" t="inlineStr">
        <is>
          <t>Do not approve</t>
        </is>
      </c>
      <c r="CD2" s="3" t="inlineStr">
        <is>
          <t>human-centered learning.
FCCPS will … (proposed by TEST 01)</t>
        </is>
      </c>
      <c r="CE2" s="3" t="n"/>
      <c r="CF2" s="3" t="inlineStr">
        <is>
          <t>Concern: clarify scope / add guardrail.</t>
        </is>
      </c>
      <c r="CG2" s="3" t="inlineStr">
        <is>
          <t>Approve</t>
        </is>
      </c>
      <c r="CH2" s="3" t="n"/>
      <c r="CI2" s="3" t="n"/>
      <c r="CJ2" s="3" t="n"/>
      <c r="CK2" s="3" t="inlineStr">
        <is>
          <t>Approve</t>
        </is>
      </c>
      <c r="CL2" s="3" t="n"/>
      <c r="CM2" s="3" t="inlineStr">
        <is>
          <t>TR3 — Equity, accessibility &amp; inclusion; TR6 — Transparency, accountability &amp; community trust; TR5 — Student safety &amp; developmental appropriateness</t>
        </is>
      </c>
      <c r="CN2" s="3" t="n"/>
      <c r="CO2" s="3" t="inlineStr">
        <is>
          <t>Approve</t>
        </is>
      </c>
      <c r="CP2" s="3" t="n"/>
      <c r="CQ2" s="3" t="inlineStr">
        <is>
          <t>TR3 — Equity, accessibility &amp; inclusion</t>
        </is>
      </c>
      <c r="CR2" s="3" t="n"/>
      <c r="CS2" s="3" t="inlineStr">
        <is>
          <t>Option B</t>
        </is>
      </c>
      <c r="CT2" s="3" t="inlineStr">
        <is>
          <t>TR2 — Assessment validity &amp; academic integrity; TR4 — Privacy, security &amp; data minimization; TR7 — Feasibility, workload &amp; sustainability</t>
        </is>
      </c>
      <c r="CU2" s="3" t="inlineStr">
        <is>
          <t>Rationale: prefer hybrid.</t>
        </is>
      </c>
      <c r="CV2" s="3" t="n"/>
      <c r="CW2" s="3" t="inlineStr">
        <is>
          <t>Option A</t>
        </is>
      </c>
      <c r="CX2" s="3" t="inlineStr">
        <is>
          <t>TR1 — Learning impact &amp; deep skills; TR2 — Assessment validity &amp; academic integrity</t>
        </is>
      </c>
      <c r="CY2" s="3" t="n"/>
      <c r="CZ2" s="3" t="n"/>
      <c r="DA2" s="3" t="inlineStr">
        <is>
          <t>Need more info</t>
        </is>
      </c>
      <c r="DB2" s="3" t="n"/>
      <c r="DC2" s="3" t="n"/>
      <c r="DD2" s="3" t="inlineStr">
        <is>
          <t>Need definition + example.</t>
        </is>
      </c>
      <c r="DE2" s="3" t="inlineStr">
        <is>
          <t>Option A</t>
        </is>
      </c>
      <c r="DF2" s="3" t="inlineStr">
        <is>
          <t>TR5 — Student safety &amp; developmental appropriateness; TR1 — Learning impact &amp; deep skills; TR8 — Evidence, monitoring &amp; reversibility</t>
        </is>
      </c>
      <c r="DG2" s="3" t="n"/>
      <c r="DH2" s="3" t="n"/>
      <c r="DI2" s="3" t="inlineStr">
        <is>
          <t>Option B</t>
        </is>
      </c>
      <c r="DJ2" s="3" t="n"/>
      <c r="DK2" s="3" t="n"/>
      <c r="DL2" s="3" t="n"/>
      <c r="DM2" s="3" t="inlineStr">
        <is>
          <t>Option A</t>
        </is>
      </c>
      <c r="DN2" s="3" t="inlineStr">
        <is>
          <t>TR1 — Learning impact &amp; deep skills</t>
        </is>
      </c>
      <c r="DO2" s="3" t="inlineStr">
        <is>
          <t>Rationale: prefer hybrid.</t>
        </is>
      </c>
      <c r="DP2" s="3" t="n"/>
      <c r="DQ2" s="3" t="inlineStr">
        <is>
          <t>Option B</t>
        </is>
      </c>
      <c r="DR2" s="3" t="inlineStr">
        <is>
          <t>TR3 — Equity, accessibility &amp; inclusion; TR5 — Student safety &amp; developmental appropriateness; TR4 — Privacy, security &amp; data minimization</t>
        </is>
      </c>
      <c r="DS2" s="3" t="inlineStr">
        <is>
          <t>Rationale: prefer hybrid.</t>
        </is>
      </c>
      <c r="DT2" s="3" t="n"/>
      <c r="DU2" s="3" t="inlineStr">
        <is>
          <t>F3-13 (P-GGA) use transparency; S12 (P-TPW) Support before expectation; S10 (P-GGA) Evidence-driven updates; F3-08 (P-EAI) non-AI path; F3-18 (P-LSD) AI literacy; S08 (P-TPC) Plain-language transparency; F3-15 (P-GGA) notice plus consent where feasible</t>
        </is>
      </c>
      <c r="DV2" s="3" t="inlineStr">
        <is>
          <t>F3-13 (P-GGA) use transparency; S12 (P-TPW) Support before expectation; S10 (P-GGA) Evidence-driven updates</t>
        </is>
      </c>
    </row>
    <row r="3" ht="87" customHeight="1">
      <c r="A3" s="2" t="n">
        <v>46074.37986111111</v>
      </c>
      <c r="B3" s="2" t="n">
        <v>46074.39027777778</v>
      </c>
      <c r="C3" s="3" t="inlineStr">
        <is>
          <t>TEST 02</t>
        </is>
      </c>
      <c r="D3" s="3" t="inlineStr">
        <is>
          <t>test02@example.org</t>
        </is>
      </c>
      <c r="E3" s="3" t="inlineStr">
        <is>
          <t>Approve</t>
        </is>
      </c>
      <c r="F3" s="3" t="n"/>
      <c r="G3" s="3" t="inlineStr">
        <is>
          <t>TR4 — Privacy, security &amp; data minimization</t>
        </is>
      </c>
      <c r="H3" s="3" t="n"/>
      <c r="I3" s="3" t="inlineStr">
        <is>
          <t>Approve</t>
        </is>
      </c>
      <c r="J3" s="3" t="n"/>
      <c r="K3" s="3" t="inlineStr">
        <is>
          <t>TR8 — Evidence, monitoring &amp; reversibility; TR5 — Student safety &amp; developmental appropriateness; TR1 — Learning impact &amp; deep skills</t>
        </is>
      </c>
      <c r="L3" s="3" t="n"/>
      <c r="M3" s="3" t="inlineStr">
        <is>
          <t>Approve</t>
        </is>
      </c>
      <c r="N3" s="3" t="n"/>
      <c r="O3" s="3" t="n"/>
      <c r="P3" s="3" t="n"/>
      <c r="Q3" s="3" t="inlineStr">
        <is>
          <t>Approve</t>
        </is>
      </c>
      <c r="R3" s="3" t="n"/>
      <c r="S3" s="3" t="inlineStr">
        <is>
          <t>TR4 — Privacy, security &amp; data minimization; TR6 — Transparency, accountability &amp; community trust</t>
        </is>
      </c>
      <c r="T3" s="3" t="n"/>
      <c r="U3" s="3" t="inlineStr">
        <is>
          <t>Approve</t>
        </is>
      </c>
      <c r="V3" s="3" t="n"/>
      <c r="W3" s="3" t="inlineStr">
        <is>
          <t>TR7 — Feasibility, workload &amp; sustainability; TR8 — Evidence, monitoring &amp; reversibility</t>
        </is>
      </c>
      <c r="X3" s="3" t="n"/>
      <c r="Y3" s="3" t="inlineStr">
        <is>
          <t>Do not approve</t>
        </is>
      </c>
      <c r="Z3" s="3" t="inlineStr">
        <is>
          <t>detectors are advisory.
FCCPS will … (proposed by TEST 02)</t>
        </is>
      </c>
      <c r="AA3" s="3" t="inlineStr">
        <is>
          <t>TR5 — Student safety &amp; developmental appropriateness; TR8 — Evidence, monitoring &amp; reversibility; TR2 — Assessment validity &amp; academic integrity</t>
        </is>
      </c>
      <c r="AB3" s="3" t="n"/>
      <c r="AC3" s="3" t="inlineStr">
        <is>
          <t>Do not approve</t>
        </is>
      </c>
      <c r="AD3" s="3" t="inlineStr">
        <is>
          <t>student disclosure.
FCCPS will … (proposed by TEST 02)</t>
        </is>
      </c>
      <c r="AE3" s="3" t="inlineStr">
        <is>
          <t>TR4 — Privacy, security &amp; data minimization</t>
        </is>
      </c>
      <c r="AF3" s="3" t="inlineStr">
        <is>
          <t>Concern: clarify scope / add guardrail.</t>
        </is>
      </c>
      <c r="AG3" s="3" t="inlineStr">
        <is>
          <t>Approve</t>
        </is>
      </c>
      <c r="AH3" s="3" t="n"/>
      <c r="AI3" s="3" t="n"/>
      <c r="AJ3" s="3" t="n"/>
      <c r="AK3" s="3" t="inlineStr">
        <is>
          <t>Approve</t>
        </is>
      </c>
      <c r="AL3" s="3" t="n"/>
      <c r="AM3" s="3" t="inlineStr">
        <is>
          <t>TR1 — Learning impact &amp; deep skills</t>
        </is>
      </c>
      <c r="AN3" s="3" t="n"/>
      <c r="AO3" s="3" t="inlineStr">
        <is>
          <t>Approve</t>
        </is>
      </c>
      <c r="AP3" s="3" t="n"/>
      <c r="AQ3" s="3" t="inlineStr">
        <is>
          <t>TR8 — Evidence, monitoring &amp; reversibility; TR2 — Assessment validity &amp; academic integrity; TR1 — Learning impact &amp; deep skills</t>
        </is>
      </c>
      <c r="AR3" s="3" t="n"/>
      <c r="AS3" s="3" t="inlineStr">
        <is>
          <t>Approve</t>
        </is>
      </c>
      <c r="AT3" s="3" t="n"/>
      <c r="AU3" s="3" t="inlineStr">
        <is>
          <t>TR6 — Transparency, accountability &amp; community trust; TR5 — Student safety &amp; developmental appropriateness</t>
        </is>
      </c>
      <c r="AV3" s="3" t="n"/>
      <c r="AW3" s="3" t="inlineStr">
        <is>
          <t>Approve</t>
        </is>
      </c>
      <c r="AX3" s="3" t="n"/>
      <c r="AY3" s="3" t="inlineStr">
        <is>
          <t>TR2 — Assessment validity &amp; academic integrity</t>
        </is>
      </c>
      <c r="AZ3" s="3" t="n"/>
      <c r="BA3" s="3" t="inlineStr">
        <is>
          <t>Approve</t>
        </is>
      </c>
      <c r="BB3" s="3" t="n"/>
      <c r="BC3" s="3" t="inlineStr">
        <is>
          <t>TR6 — Transparency, accountability &amp; community trust; TR8 — Evidence, monitoring &amp; reversibility; TR7 — Feasibility, workload &amp; sustainability</t>
        </is>
      </c>
      <c r="BD3" s="3" t="n"/>
      <c r="BE3" s="3" t="inlineStr">
        <is>
          <t>Approve</t>
        </is>
      </c>
      <c r="BF3" s="3" t="n"/>
      <c r="BG3" s="3" t="inlineStr">
        <is>
          <t>TR1 — Learning impact &amp; deep skills</t>
        </is>
      </c>
      <c r="BH3" s="3" t="n"/>
      <c r="BI3" s="3" t="inlineStr">
        <is>
          <t>Do not approve</t>
        </is>
      </c>
      <c r="BJ3" s="3" t="inlineStr">
        <is>
          <t>notice plus consent where feasible.
FCCPS will … (proposed by TEST 02)</t>
        </is>
      </c>
      <c r="BK3" s="3" t="inlineStr">
        <is>
          <t>TR6 — Transparency, accountability &amp; community trust; TR8 — Evidence, monitoring &amp; reversibility; TR3 — Equity, accessibility &amp; inclusion</t>
        </is>
      </c>
      <c r="BL3" s="3" t="n"/>
      <c r="BM3" s="3" t="inlineStr">
        <is>
          <t>Approve</t>
        </is>
      </c>
      <c r="BN3" s="3" t="n"/>
      <c r="BO3" s="3" t="n"/>
      <c r="BP3" s="3" t="n"/>
      <c r="BQ3" s="3" t="inlineStr">
        <is>
          <t>Approve</t>
        </is>
      </c>
      <c r="BR3" s="3" t="n"/>
      <c r="BS3" s="3" t="inlineStr">
        <is>
          <t>TR6 — Transparency, accountability &amp; community trust; TR2 — Assessment validity &amp; academic integrity</t>
        </is>
      </c>
      <c r="BT3" s="3" t="n"/>
      <c r="BU3" s="3" t="inlineStr">
        <is>
          <t>Do not approve</t>
        </is>
      </c>
      <c r="BV3" s="3" t="inlineStr">
        <is>
          <t>AI literacy.
FCCPS will … (proposed by TEST 02)</t>
        </is>
      </c>
      <c r="BW3" s="3" t="n"/>
      <c r="BX3" s="3" t="inlineStr">
        <is>
          <t>Concern: clarify scope / add guardrail.</t>
        </is>
      </c>
      <c r="BY3" s="3" t="inlineStr">
        <is>
          <t>Approve</t>
        </is>
      </c>
      <c r="BZ3" s="3" t="n"/>
      <c r="CA3" s="3" t="n"/>
      <c r="CB3" s="3" t="n"/>
      <c r="CC3" s="3" t="inlineStr">
        <is>
          <t>Do not approve</t>
        </is>
      </c>
      <c r="CD3" s="3" t="inlineStr">
        <is>
          <t>human-centered learning.
FCCPS will … (proposed by TEST 02)</t>
        </is>
      </c>
      <c r="CE3" s="3" t="inlineStr">
        <is>
          <t>TR6 — Transparency, accountability &amp; community trust</t>
        </is>
      </c>
      <c r="CF3" s="3" t="inlineStr">
        <is>
          <t>Concern: clarify scope / add guardrail.</t>
        </is>
      </c>
      <c r="CG3" s="3" t="inlineStr">
        <is>
          <t>Approve</t>
        </is>
      </c>
      <c r="CH3" s="3" t="n"/>
      <c r="CI3" s="3" t="n"/>
      <c r="CJ3" s="3" t="n"/>
      <c r="CK3" s="3" t="inlineStr">
        <is>
          <t>Do not approve</t>
        </is>
      </c>
      <c r="CL3" s="3" t="inlineStr">
        <is>
          <t>teacher-owned feedback.
FCCPS will … (proposed by TEST 02)</t>
        </is>
      </c>
      <c r="CM3" s="3" t="inlineStr">
        <is>
          <t>TR1 — Learning impact &amp; deep skills; TR7 — Feasibility, workload &amp; sustainability; TR4 — Privacy, security &amp; data minimization</t>
        </is>
      </c>
      <c r="CN3" s="3" t="inlineStr">
        <is>
          <t>Concern: clarify scope / add guardrail.</t>
        </is>
      </c>
      <c r="CO3" s="3" t="inlineStr">
        <is>
          <t>Approve</t>
        </is>
      </c>
      <c r="CP3" s="3" t="n"/>
      <c r="CQ3" s="3" t="inlineStr">
        <is>
          <t>TR7 — Feasibility, workload &amp; sustainability; TR5 — Student safety &amp; developmental appropriateness; TR1 — Learning impact &amp; deep skills</t>
        </is>
      </c>
      <c r="CR3" s="3" t="n"/>
      <c r="CS3" s="3" t="inlineStr">
        <is>
          <t>Option C</t>
        </is>
      </c>
      <c r="CT3" s="3" t="n"/>
      <c r="CU3" s="3" t="n"/>
      <c r="CV3" s="3" t="n"/>
      <c r="CW3" s="3" t="inlineStr">
        <is>
          <t>Option A</t>
        </is>
      </c>
      <c r="CX3" s="3" t="inlineStr">
        <is>
          <t>TR7 — Feasibility, workload &amp; sustainability; TR6 — Transparency, accountability &amp; community trust</t>
        </is>
      </c>
      <c r="CY3" s="3" t="n"/>
      <c r="CZ3" s="3" t="n"/>
      <c r="DA3" s="3" t="inlineStr">
        <is>
          <t>Need more info</t>
        </is>
      </c>
      <c r="DB3" s="3" t="inlineStr">
        <is>
          <t>TR8 — Evidence, monitoring &amp; reversibility; TR4 — Privacy, security &amp; data minimization; TR5 — Student safety &amp; developmental appropriateness</t>
        </is>
      </c>
      <c r="DC3" s="3" t="n"/>
      <c r="DD3" s="3" t="inlineStr">
        <is>
          <t>Need definition + example.</t>
        </is>
      </c>
      <c r="DE3" s="3" t="inlineStr">
        <is>
          <t>Option C</t>
        </is>
      </c>
      <c r="DF3" s="3" t="n"/>
      <c r="DG3" s="3" t="n"/>
      <c r="DH3" s="3" t="n"/>
      <c r="DI3" s="3" t="inlineStr">
        <is>
          <t>Option A</t>
        </is>
      </c>
      <c r="DJ3" s="3" t="n"/>
      <c r="DK3" s="3" t="n"/>
      <c r="DL3" s="3" t="n"/>
      <c r="DM3" s="3" t="inlineStr">
        <is>
          <t>Option C</t>
        </is>
      </c>
      <c r="DN3" s="3" t="inlineStr">
        <is>
          <t>TR8 — Evidence, monitoring &amp; reversibility; TR3 — Equity, accessibility &amp; inclusion; TR1 — Learning impact &amp; deep skills</t>
        </is>
      </c>
      <c r="DO3" s="3" t="n"/>
      <c r="DP3" s="3" t="n"/>
      <c r="DQ3" s="3" t="inlineStr">
        <is>
          <t>Option A</t>
        </is>
      </c>
      <c r="DR3" s="3" t="inlineStr">
        <is>
          <t>TR3 — Equity, accessibility &amp; inclusion</t>
        </is>
      </c>
      <c r="DS3" s="3" t="inlineStr">
        <is>
          <t>Rationale: prefer hybrid.</t>
        </is>
      </c>
      <c r="DT3" s="3" t="n"/>
      <c r="DU3" s="3" t="inlineStr">
        <is>
          <t>F3-17 (P-GGA) risk-based restrictions; F3-20 (P-LSD) human-centered learning; F3-04 (P-AAI) common use-case language; F3-09 (P-EAI) IEP/504 decisions stay human; F3-01 (P-TPC) feedback channels; F3-10 (P-EAI) access plus supports; S09 (P-GGA) Tiered permissioning; S07 (P-TPC) Data minimization</t>
        </is>
      </c>
      <c r="DV3" s="3" t="inlineStr">
        <is>
          <t>F3-17 (P-GGA) risk-based restrictions; F3-20 (P-LSD) human-centered learning; F3-04 (P-AAI) common use-case language</t>
        </is>
      </c>
    </row>
    <row r="4" ht="116" customHeight="1">
      <c r="A4" s="2" t="n">
        <v>46074.38472222222</v>
      </c>
      <c r="B4" s="2" t="n">
        <v>46074.39583333334</v>
      </c>
      <c r="C4" s="3" t="inlineStr">
        <is>
          <t>TEST 03</t>
        </is>
      </c>
      <c r="D4" s="3" t="inlineStr">
        <is>
          <t>test03@example.org</t>
        </is>
      </c>
      <c r="E4" s="3" t="inlineStr">
        <is>
          <t>Do not approve</t>
        </is>
      </c>
      <c r="F4" s="3" t="inlineStr">
        <is>
          <t>feedback channels.
FCCPS will … (proposed by TEST 03)</t>
        </is>
      </c>
      <c r="G4" s="3" t="inlineStr">
        <is>
          <t>TR4 — Privacy, security &amp; data minimization</t>
        </is>
      </c>
      <c r="H4" s="3" t="inlineStr">
        <is>
          <t>Concern: clarify scope / add guardrail.</t>
        </is>
      </c>
      <c r="I4" s="3" t="inlineStr">
        <is>
          <t>Approve</t>
        </is>
      </c>
      <c r="J4" s="3" t="n"/>
      <c r="K4" s="3" t="inlineStr">
        <is>
          <t>TR4 — Privacy, security &amp; data minimization; TR2 — Assessment validity &amp; academic integrity</t>
        </is>
      </c>
      <c r="L4" s="3" t="n"/>
      <c r="M4" s="3" t="inlineStr">
        <is>
          <t>Approve</t>
        </is>
      </c>
      <c r="N4" s="3" t="n"/>
      <c r="O4" s="3" t="inlineStr">
        <is>
          <t>TR1 — Learning impact &amp; deep skills; TR6 — Transparency, accountability &amp; community trust</t>
        </is>
      </c>
      <c r="P4" s="3" t="n"/>
      <c r="Q4" s="3" t="inlineStr">
        <is>
          <t>Approve</t>
        </is>
      </c>
      <c r="R4" s="3" t="n"/>
      <c r="S4" s="3" t="inlineStr">
        <is>
          <t>TR3 — Equity, accessibility &amp; inclusion; TR1 — Learning impact &amp; deep skills</t>
        </is>
      </c>
      <c r="T4" s="3" t="n"/>
      <c r="U4" s="3" t="inlineStr">
        <is>
          <t>Approve</t>
        </is>
      </c>
      <c r="V4" s="3" t="n"/>
      <c r="W4" s="3" t="inlineStr">
        <is>
          <t>TR4 — Privacy, security &amp; data minimization; TR7 — Feasibility, workload &amp; sustainability</t>
        </is>
      </c>
      <c r="X4" s="3" t="n"/>
      <c r="Y4" s="3" t="inlineStr">
        <is>
          <t>Approve</t>
        </is>
      </c>
      <c r="Z4" s="3" t="n"/>
      <c r="AA4" s="3" t="inlineStr">
        <is>
          <t>TR6 — Transparency, accountability &amp; community trust; TR8 — Evidence, monitoring &amp; reversibility; TR5 — Student safety &amp; developmental appropriateness</t>
        </is>
      </c>
      <c r="AB4" s="3" t="n"/>
      <c r="AC4" s="3" t="inlineStr">
        <is>
          <t>Approve</t>
        </is>
      </c>
      <c r="AD4" s="3" t="n"/>
      <c r="AE4" s="3" t="n"/>
      <c r="AF4" s="3" t="n"/>
      <c r="AG4" s="3" t="inlineStr">
        <is>
          <t>Do not approve</t>
        </is>
      </c>
      <c r="AH4" s="3" t="inlineStr">
        <is>
          <t>non-AI path.
FCCPS will … (proposed by TEST 03)</t>
        </is>
      </c>
      <c r="AI4" s="3" t="inlineStr">
        <is>
          <t>TR1 — Learning impact &amp; deep skills; TR6 — Transparency, accountability &amp; community trust</t>
        </is>
      </c>
      <c r="AJ4" s="3" t="n"/>
      <c r="AK4" s="3" t="inlineStr">
        <is>
          <t>Approve</t>
        </is>
      </c>
      <c r="AL4" s="3" t="n"/>
      <c r="AM4" s="3" t="inlineStr">
        <is>
          <t>TR1 — Learning impact &amp; deep skills; TR6 — Transparency, accountability &amp; community trust</t>
        </is>
      </c>
      <c r="AN4" s="3" t="n"/>
      <c r="AO4" s="3" t="inlineStr">
        <is>
          <t>Approve</t>
        </is>
      </c>
      <c r="AP4" s="3" t="n"/>
      <c r="AQ4" s="3" t="inlineStr">
        <is>
          <t>TR4 — Privacy, security &amp; data minimization; TR1 — Learning impact &amp; deep skills; TR3 — Equity, accessibility &amp; inclusion</t>
        </is>
      </c>
      <c r="AR4" s="3" t="n"/>
      <c r="AS4" s="3" t="inlineStr">
        <is>
          <t>Approve</t>
        </is>
      </c>
      <c r="AT4" s="3" t="n"/>
      <c r="AU4" s="3" t="inlineStr">
        <is>
          <t>TR1 — Learning impact &amp; deep skills</t>
        </is>
      </c>
      <c r="AV4" s="3" t="n"/>
      <c r="AW4" s="3" t="inlineStr">
        <is>
          <t>Do not approve</t>
        </is>
      </c>
      <c r="AX4" s="3" t="inlineStr">
        <is>
          <t>evaluate before scaling.
FCCPS will … (proposed by TEST 03)</t>
        </is>
      </c>
      <c r="AY4" s="3" t="n"/>
      <c r="AZ4" s="3" t="inlineStr">
        <is>
          <t>Concern: clarify scope / add guardrail.</t>
        </is>
      </c>
      <c r="BA4" s="3" t="inlineStr">
        <is>
          <t>Approve</t>
        </is>
      </c>
      <c r="BB4" s="3" t="n"/>
      <c r="BC4" s="3" t="inlineStr">
        <is>
          <t>TR2 — Assessment validity &amp; academic integrity; TR6 — Transparency, accountability &amp; community trust</t>
        </is>
      </c>
      <c r="BD4" s="3" t="n"/>
      <c r="BE4" s="3" t="inlineStr">
        <is>
          <t>Approve</t>
        </is>
      </c>
      <c r="BF4" s="3" t="n"/>
      <c r="BG4" s="3" t="inlineStr">
        <is>
          <t>TR5 — Student safety &amp; developmental appropriateness; TR2 — Assessment validity &amp; academic integrity; TR6 — Transparency, accountability &amp; community trust</t>
        </is>
      </c>
      <c r="BH4" s="3" t="n"/>
      <c r="BI4" s="3" t="inlineStr">
        <is>
          <t>Approve</t>
        </is>
      </c>
      <c r="BJ4" s="3" t="n"/>
      <c r="BK4" s="3" t="inlineStr">
        <is>
          <t>TR1 — Learning impact &amp; deep skills; TR2 — Assessment validity &amp; academic integrity; TR7 — Feasibility, workload &amp; sustainability</t>
        </is>
      </c>
      <c r="BL4" s="3" t="n"/>
      <c r="BM4" s="3" t="inlineStr">
        <is>
          <t>Approve</t>
        </is>
      </c>
      <c r="BN4" s="3" t="n"/>
      <c r="BO4" s="3" t="inlineStr">
        <is>
          <t>TR3 — Equity, accessibility &amp; inclusion; TR4 — Privacy, security &amp; data minimization</t>
        </is>
      </c>
      <c r="BP4" s="3" t="n"/>
      <c r="BQ4" s="3" t="inlineStr">
        <is>
          <t>Do not approve</t>
        </is>
      </c>
      <c r="BR4" s="3" t="inlineStr">
        <is>
          <t>risk-based restrictions.
FCCPS will … (proposed by TEST 03)</t>
        </is>
      </c>
      <c r="BS4" s="3" t="inlineStr">
        <is>
          <t>TR2 — Assessment validity &amp; academic integrity</t>
        </is>
      </c>
      <c r="BT4" s="3" t="inlineStr">
        <is>
          <t>Concern: clarify scope / add guardrail.</t>
        </is>
      </c>
      <c r="BU4" s="3" t="inlineStr">
        <is>
          <t>Do not approve</t>
        </is>
      </c>
      <c r="BV4" s="3" t="inlineStr">
        <is>
          <t>AI literacy.
FCCPS will … (proposed by TEST 03)</t>
        </is>
      </c>
      <c r="BW4" s="3" t="inlineStr">
        <is>
          <t>TR3 — Equity, accessibility &amp; inclusion; TR4 — Privacy, security &amp; data minimization; TR7 — Feasibility, workload &amp; sustainability</t>
        </is>
      </c>
      <c r="BX4" s="3" t="inlineStr">
        <is>
          <t>Concern: clarify scope / add guardrail.</t>
        </is>
      </c>
      <c r="BY4" s="3" t="inlineStr">
        <is>
          <t>Do not approve</t>
        </is>
      </c>
      <c r="BZ4" s="3" t="inlineStr">
        <is>
          <t>learning-evidence threshold.
FCCPS will … (proposed by TEST 03)</t>
        </is>
      </c>
      <c r="CA4" s="3" t="n"/>
      <c r="CB4" s="3" t="inlineStr">
        <is>
          <t>Concern: clarify scope / add guardrail.</t>
        </is>
      </c>
      <c r="CC4" s="3" t="inlineStr">
        <is>
          <t>Approve</t>
        </is>
      </c>
      <c r="CD4" s="3" t="n"/>
      <c r="CE4" s="3" t="inlineStr">
        <is>
          <t>TR8 — Evidence, monitoring &amp; reversibility; TR3 — Equity, accessibility &amp; inclusion</t>
        </is>
      </c>
      <c r="CF4" s="3" t="n"/>
      <c r="CG4" s="3" t="inlineStr">
        <is>
          <t>Approve</t>
        </is>
      </c>
      <c r="CH4" s="3" t="n"/>
      <c r="CI4" s="3" t="inlineStr">
        <is>
          <t>TR2 — Assessment validity &amp; academic integrity</t>
        </is>
      </c>
      <c r="CJ4" s="3" t="n"/>
      <c r="CK4" s="3" t="inlineStr">
        <is>
          <t>Approve</t>
        </is>
      </c>
      <c r="CL4" s="3" t="n"/>
      <c r="CM4" s="3" t="n"/>
      <c r="CN4" s="3" t="n"/>
      <c r="CO4" s="3" t="inlineStr">
        <is>
          <t>Approve</t>
        </is>
      </c>
      <c r="CP4" s="3" t="n"/>
      <c r="CQ4" s="3" t="inlineStr">
        <is>
          <t>TR2 — Assessment validity &amp; academic integrity; TR3 — Equity, accessibility &amp; inclusion; TR5 — Student safety &amp; developmental appropriateness</t>
        </is>
      </c>
      <c r="CR4" s="3" t="n"/>
      <c r="CS4" s="3" t="inlineStr">
        <is>
          <t>Need more info</t>
        </is>
      </c>
      <c r="CT4" s="3" t="inlineStr">
        <is>
          <t>TR5 — Student safety &amp; developmental appropriateness; TR6 — Transparency, accountability &amp; community trust</t>
        </is>
      </c>
      <c r="CU4" s="3" t="inlineStr">
        <is>
          <t>Rationale: prefer hybrid.</t>
        </is>
      </c>
      <c r="CV4" s="3" t="inlineStr">
        <is>
          <t>Need definition + example.</t>
        </is>
      </c>
      <c r="CW4" s="3" t="inlineStr">
        <is>
          <t>Option B</t>
        </is>
      </c>
      <c r="CX4" s="3" t="n"/>
      <c r="CY4" s="3" t="n"/>
      <c r="CZ4" s="3" t="n"/>
      <c r="DA4" s="3" t="inlineStr">
        <is>
          <t>Option B</t>
        </is>
      </c>
      <c r="DB4" s="3" t="inlineStr">
        <is>
          <t>TR5 — Student safety &amp; developmental appropriateness; TR4 — Privacy, security &amp; data minimization; TR1 — Learning impact &amp; deep skills</t>
        </is>
      </c>
      <c r="DC4" s="3" t="n"/>
      <c r="DD4" s="3" t="n"/>
      <c r="DE4" s="3" t="inlineStr">
        <is>
          <t>Option C</t>
        </is>
      </c>
      <c r="DF4" s="3" t="inlineStr">
        <is>
          <t>TR1 — Learning impact &amp; deep skills; TR2 — Assessment validity &amp; academic integrity; TR5 — Student safety &amp; developmental appropriateness</t>
        </is>
      </c>
      <c r="DG4" s="3" t="n"/>
      <c r="DH4" s="3" t="n"/>
      <c r="DI4" s="3" t="inlineStr">
        <is>
          <t>Option C</t>
        </is>
      </c>
      <c r="DJ4" s="3" t="inlineStr">
        <is>
          <t>TR8 — Evidence, monitoring &amp; reversibility</t>
        </is>
      </c>
      <c r="DK4" s="3" t="n"/>
      <c r="DL4" s="3" t="n"/>
      <c r="DM4" s="3" t="inlineStr">
        <is>
          <t>Option C</t>
        </is>
      </c>
      <c r="DN4" s="3" t="inlineStr">
        <is>
          <t>TR8 — Evidence, monitoring &amp; reversibility; TR5 — Student safety &amp; developmental appropriateness; TR6 — Transparency, accountability &amp; community trust</t>
        </is>
      </c>
      <c r="DO4" s="3" t="n"/>
      <c r="DP4" s="3" t="n"/>
      <c r="DQ4" s="3" t="inlineStr">
        <is>
          <t>Option A</t>
        </is>
      </c>
      <c r="DR4" s="3" t="inlineStr">
        <is>
          <t>TR3 — Equity, accessibility &amp; inclusion; TR5 — Student safety &amp; developmental appropriateness</t>
        </is>
      </c>
      <c r="DS4" s="3" t="n"/>
      <c r="DT4" s="3" t="n"/>
      <c r="DU4" s="3" t="inlineStr">
        <is>
          <t>F3-05 (P-AAI) design before bans; F3-08 (P-EAI) non-AI path; F3-13 (P-GGA) use transparency; F3-02 (P-TPC) pilot with monitoring; S10 (P-GGA) Evidence-driven updates; F3-16 (P-LSD) prevent cognitive offloading; S05 (P-EAI) Equity by design; F3-06 (P-AAI) detectors are advisory; F3-23 (P-TPW) educator voice in governance; S09 (P-GGA) Tiered permissioning</t>
        </is>
      </c>
      <c r="DV4" s="3" t="inlineStr">
        <is>
          <t>F3-05 (P-AAI) design before bans; F3-08 (P-EAI) non-AI path; F3-13 (P-GGA) use transparency</t>
        </is>
      </c>
    </row>
    <row r="5" ht="116" customHeight="1">
      <c r="A5" s="2" t="n">
        <v>46074.38958333333</v>
      </c>
      <c r="B5" s="2" t="n">
        <v>46074.4</v>
      </c>
      <c r="C5" s="3" t="inlineStr">
        <is>
          <t>TEST 04</t>
        </is>
      </c>
      <c r="D5" s="3" t="inlineStr">
        <is>
          <t>test04@example.org</t>
        </is>
      </c>
      <c r="E5" s="3" t="inlineStr">
        <is>
          <t>Approve</t>
        </is>
      </c>
      <c r="F5" s="3" t="n"/>
      <c r="G5" s="3" t="n"/>
      <c r="H5" s="3" t="n"/>
      <c r="I5" s="3" t="inlineStr">
        <is>
          <t>Approve</t>
        </is>
      </c>
      <c r="J5" s="3" t="n"/>
      <c r="K5" s="3" t="inlineStr">
        <is>
          <t>TR1 — Learning impact &amp; deep skills; TR5 — Student safety &amp; developmental appropriateness; TR8 — Evidence, monitoring &amp; reversibility</t>
        </is>
      </c>
      <c r="L5" s="3" t="n"/>
      <c r="M5" s="3" t="inlineStr">
        <is>
          <t>Approve</t>
        </is>
      </c>
      <c r="N5" s="3" t="n"/>
      <c r="O5" s="3" t="inlineStr">
        <is>
          <t>TR2 — Assessment validity &amp; academic integrity; TR4 — Privacy, security &amp; data minimization; TR1 — Learning impact &amp; deep skills</t>
        </is>
      </c>
      <c r="P5" s="3" t="n"/>
      <c r="Q5" s="3" t="inlineStr">
        <is>
          <t>Approve</t>
        </is>
      </c>
      <c r="R5" s="3" t="n"/>
      <c r="S5" s="3" t="n"/>
      <c r="T5" s="3" t="n"/>
      <c r="U5" s="3" t="inlineStr">
        <is>
          <t>Do not approve</t>
        </is>
      </c>
      <c r="V5" s="3" t="inlineStr">
        <is>
          <t>design before bans.
FCCPS will … (proposed by TEST 04)</t>
        </is>
      </c>
      <c r="W5" s="3" t="inlineStr">
        <is>
          <t>TR7 — Feasibility, workload &amp; sustainability; TR8 — Evidence, monitoring &amp; reversibility; TR4 — Privacy, security &amp; data minimization</t>
        </is>
      </c>
      <c r="X5" s="3" t="inlineStr">
        <is>
          <t>Concern: clarify scope / add guardrail.</t>
        </is>
      </c>
      <c r="Y5" s="3" t="inlineStr">
        <is>
          <t>Approve</t>
        </is>
      </c>
      <c r="Z5" s="3" t="n"/>
      <c r="AA5" s="3" t="inlineStr">
        <is>
          <t>TR6 — Transparency, accountability &amp; community trust</t>
        </is>
      </c>
      <c r="AB5" s="3" t="n"/>
      <c r="AC5" s="3" t="inlineStr">
        <is>
          <t>Approve</t>
        </is>
      </c>
      <c r="AD5" s="3" t="n"/>
      <c r="AE5" s="3" t="inlineStr">
        <is>
          <t>TR6 — Transparency, accountability &amp; community trust; TR1 — Learning impact &amp; deep skills; TR2 — Assessment validity &amp; academic integrity</t>
        </is>
      </c>
      <c r="AF5" s="3" t="n"/>
      <c r="AG5" s="3" t="inlineStr">
        <is>
          <t>Approve</t>
        </is>
      </c>
      <c r="AH5" s="3" t="n"/>
      <c r="AI5" s="3" t="n"/>
      <c r="AJ5" s="3" t="n"/>
      <c r="AK5" s="3" t="inlineStr">
        <is>
          <t>Do not approve</t>
        </is>
      </c>
      <c r="AL5" s="3" t="inlineStr">
        <is>
          <t>IEP/504 decisions stay human.
FCCPS will … (proposed by TEST 04)</t>
        </is>
      </c>
      <c r="AM5" s="3" t="inlineStr">
        <is>
          <t>TR1 — Learning impact &amp; deep skills</t>
        </is>
      </c>
      <c r="AN5" s="3" t="inlineStr">
        <is>
          <t>Concern: clarify scope / add guardrail.</t>
        </is>
      </c>
      <c r="AO5" s="3" t="inlineStr">
        <is>
          <t>Approve</t>
        </is>
      </c>
      <c r="AP5" s="3" t="n"/>
      <c r="AQ5" s="3" t="n"/>
      <c r="AR5" s="3" t="n"/>
      <c r="AS5" s="3" t="inlineStr">
        <is>
          <t>Approve</t>
        </is>
      </c>
      <c r="AT5" s="3" t="n"/>
      <c r="AU5" s="3" t="inlineStr">
        <is>
          <t>TR6 — Transparency, accountability &amp; community trust; TR2 — Assessment validity &amp; academic integrity</t>
        </is>
      </c>
      <c r="AV5" s="3" t="n"/>
      <c r="AW5" s="3" t="inlineStr">
        <is>
          <t>Approve</t>
        </is>
      </c>
      <c r="AX5" s="3" t="n"/>
      <c r="AY5" s="3" t="n"/>
      <c r="AZ5" s="3" t="n"/>
      <c r="BA5" s="3" t="inlineStr">
        <is>
          <t>Approve</t>
        </is>
      </c>
      <c r="BB5" s="3" t="n"/>
      <c r="BC5" s="3" t="n"/>
      <c r="BD5" s="3" t="n"/>
      <c r="BE5" s="3" t="inlineStr">
        <is>
          <t>Do not approve</t>
        </is>
      </c>
      <c r="BF5" s="3" t="inlineStr">
        <is>
          <t>pilot plus off-ramps.
FCCPS will … (proposed by TEST 04)</t>
        </is>
      </c>
      <c r="BG5" s="3" t="inlineStr">
        <is>
          <t>TR4 — Privacy, security &amp; data minimization; TR6 — Transparency, accountability &amp; community trust</t>
        </is>
      </c>
      <c r="BH5" s="3" t="inlineStr">
        <is>
          <t>Concern: clarify scope / add guardrail.</t>
        </is>
      </c>
      <c r="BI5" s="3" t="inlineStr">
        <is>
          <t>Approve</t>
        </is>
      </c>
      <c r="BJ5" s="3" t="n"/>
      <c r="BK5" s="3" t="inlineStr">
        <is>
          <t>TR7 — Feasibility, workload &amp; sustainability; TR8 — Evidence, monitoring &amp; reversibility; TR5 — Student safety &amp; developmental appropriateness</t>
        </is>
      </c>
      <c r="BL5" s="3" t="n"/>
      <c r="BM5" s="3" t="inlineStr">
        <is>
          <t>Approve</t>
        </is>
      </c>
      <c r="BN5" s="3" t="n"/>
      <c r="BO5" s="3" t="inlineStr">
        <is>
          <t>TR4 — Privacy, security &amp; data minimization</t>
        </is>
      </c>
      <c r="BP5" s="3" t="n"/>
      <c r="BQ5" s="3" t="inlineStr">
        <is>
          <t>Approve</t>
        </is>
      </c>
      <c r="BR5" s="3" t="n"/>
      <c r="BS5" s="3" t="inlineStr">
        <is>
          <t>TR4 — Privacy, security &amp; data minimization</t>
        </is>
      </c>
      <c r="BT5" s="3" t="n"/>
      <c r="BU5" s="3" t="inlineStr">
        <is>
          <t>Do not approve</t>
        </is>
      </c>
      <c r="BV5" s="3" t="inlineStr">
        <is>
          <t>AI literacy.
FCCPS will … (proposed by TEST 04)</t>
        </is>
      </c>
      <c r="BW5" s="3" t="inlineStr">
        <is>
          <t>TR3 — Equity, accessibility &amp; inclusion; TR8 — Evidence, monitoring &amp; reversibility</t>
        </is>
      </c>
      <c r="BX5" s="3" t="inlineStr">
        <is>
          <t>Concern: clarify scope / add guardrail.</t>
        </is>
      </c>
      <c r="BY5" s="3" t="inlineStr">
        <is>
          <t>Do not approve</t>
        </is>
      </c>
      <c r="BZ5" s="3" t="inlineStr">
        <is>
          <t>learning-evidence threshold.
FCCPS will … (proposed by TEST 04)</t>
        </is>
      </c>
      <c r="CA5" s="3" t="inlineStr">
        <is>
          <t>TR4 — Privacy, security &amp; data minimization</t>
        </is>
      </c>
      <c r="CB5" s="3" t="n"/>
      <c r="CC5" s="3" t="inlineStr">
        <is>
          <t>Approve</t>
        </is>
      </c>
      <c r="CD5" s="3" t="n"/>
      <c r="CE5" s="3" t="n"/>
      <c r="CF5" s="3" t="n"/>
      <c r="CG5" s="3" t="inlineStr">
        <is>
          <t>Approve</t>
        </is>
      </c>
      <c r="CH5" s="3" t="n"/>
      <c r="CI5" s="3" t="inlineStr">
        <is>
          <t>TR3 — Equity, accessibility &amp; inclusion</t>
        </is>
      </c>
      <c r="CJ5" s="3" t="n"/>
      <c r="CK5" s="3" t="inlineStr">
        <is>
          <t>Approve</t>
        </is>
      </c>
      <c r="CL5" s="3" t="n"/>
      <c r="CM5" s="3" t="inlineStr">
        <is>
          <t>TR7 — Feasibility, workload &amp; sustainability; TR1 — Learning impact &amp; deep skills</t>
        </is>
      </c>
      <c r="CN5" s="3" t="n"/>
      <c r="CO5" s="3" t="inlineStr">
        <is>
          <t>Approve</t>
        </is>
      </c>
      <c r="CP5" s="3" t="n"/>
      <c r="CQ5" s="3" t="inlineStr">
        <is>
          <t>TR3 — Equity, accessibility &amp; inclusion; TR2 — Assessment validity &amp; academic integrity; TR4 — Privacy, security &amp; data minimization</t>
        </is>
      </c>
      <c r="CR5" s="3" t="n"/>
      <c r="CS5" s="3" t="inlineStr">
        <is>
          <t>Option C</t>
        </is>
      </c>
      <c r="CT5" s="3" t="n"/>
      <c r="CU5" s="3" t="n"/>
      <c r="CV5" s="3" t="n"/>
      <c r="CW5" s="3" t="inlineStr">
        <is>
          <t>Option C</t>
        </is>
      </c>
      <c r="CX5" s="3" t="inlineStr">
        <is>
          <t>TR6 — Transparency, accountability &amp; community trust; TR1 — Learning impact &amp; deep skills</t>
        </is>
      </c>
      <c r="CY5" s="3" t="inlineStr">
        <is>
          <t>Rationale: prefer hybrid.</t>
        </is>
      </c>
      <c r="CZ5" s="3" t="n"/>
      <c r="DA5" s="3" t="inlineStr">
        <is>
          <t>Option C</t>
        </is>
      </c>
      <c r="DB5" s="3" t="inlineStr">
        <is>
          <t>TR4 — Privacy, security &amp; data minimization; TR7 — Feasibility, workload &amp; sustainability</t>
        </is>
      </c>
      <c r="DC5" s="3" t="n"/>
      <c r="DD5" s="3" t="n"/>
      <c r="DE5" s="3" t="inlineStr">
        <is>
          <t>Option A</t>
        </is>
      </c>
      <c r="DF5" s="3" t="n"/>
      <c r="DG5" s="3" t="inlineStr">
        <is>
          <t>Rationale: prefer hybrid.</t>
        </is>
      </c>
      <c r="DH5" s="3" t="n"/>
      <c r="DI5" s="3" t="inlineStr">
        <is>
          <t>Option C</t>
        </is>
      </c>
      <c r="DJ5" s="3" t="inlineStr">
        <is>
          <t>TR3 — Equity, accessibility &amp; inclusion; TR2 — Assessment validity &amp; academic integrity; TR7 — Feasibility, workload &amp; sustainability</t>
        </is>
      </c>
      <c r="DK5" s="3" t="n"/>
      <c r="DL5" s="3" t="n"/>
      <c r="DM5" s="3" t="inlineStr">
        <is>
          <t>Option A</t>
        </is>
      </c>
      <c r="DN5" s="3" t="inlineStr">
        <is>
          <t>TR5 — Student safety &amp; developmental appropriateness</t>
        </is>
      </c>
      <c r="DO5" s="3" t="inlineStr">
        <is>
          <t>Rationale: prefer hybrid.</t>
        </is>
      </c>
      <c r="DP5" s="3" t="n"/>
      <c r="DQ5" s="3" t="inlineStr">
        <is>
          <t>Option A</t>
        </is>
      </c>
      <c r="DR5" s="3" t="n"/>
      <c r="DS5" s="3" t="n"/>
      <c r="DT5" s="3" t="n"/>
      <c r="DU5" s="3" t="inlineStr">
        <is>
          <t>F3-18 (P-LSD) AI literacy; S05 (P-EAI) Equity by design; S07 (P-TPC) Data minimization; F3-09 (P-EAI) IEP/504 decisions stay human; F3-01 (P-TPC) feedback channels; F3-03 (P-TPC) accountable ownership; F3-02 (P-TPC) pilot with monitoring; F3-05 (P-AAI) design before bans; S12 (P-TPW) Support before expectation; F3-17 (P-GGA) risk-based restrictions; F3-21 (P-LSD) visible thinking</t>
        </is>
      </c>
      <c r="DV5" s="3" t="inlineStr">
        <is>
          <t>F3-18 (P-LSD) AI literacy; S05 (P-EAI) Equity by design; S07 (P-TPC) Data minimization</t>
        </is>
      </c>
    </row>
    <row r="6" ht="116" customHeight="1">
      <c r="A6" s="2" t="n">
        <v>46074.39444444444</v>
      </c>
      <c r="B6" s="2" t="n">
        <v>46074.40486111111</v>
      </c>
      <c r="C6" s="3" t="inlineStr">
        <is>
          <t>TEST 05</t>
        </is>
      </c>
      <c r="D6" s="3" t="inlineStr">
        <is>
          <t>test05@example.org</t>
        </is>
      </c>
      <c r="E6" s="3" t="inlineStr">
        <is>
          <t>Approve</t>
        </is>
      </c>
      <c r="F6" s="3" t="n"/>
      <c r="G6" s="3" t="n"/>
      <c r="H6" s="3" t="n"/>
      <c r="I6" s="3" t="inlineStr">
        <is>
          <t>Do not approve</t>
        </is>
      </c>
      <c r="J6" s="3" t="inlineStr">
        <is>
          <t>pilot with monitoring.
FCCPS will … (proposed by TEST 05)</t>
        </is>
      </c>
      <c r="K6" s="3" t="inlineStr">
        <is>
          <t>TR7 — Feasibility, workload &amp; sustainability</t>
        </is>
      </c>
      <c r="L6" s="3" t="inlineStr">
        <is>
          <t>Concern: clarify scope / add guardrail.</t>
        </is>
      </c>
      <c r="M6" s="3" t="inlineStr">
        <is>
          <t>Approve</t>
        </is>
      </c>
      <c r="N6" s="3" t="n"/>
      <c r="O6" s="3" t="inlineStr">
        <is>
          <t>TR4 — Privacy, security &amp; data minimization; TR5 — Student safety &amp; developmental appropriateness; TR2 — Assessment validity &amp; academic integrity</t>
        </is>
      </c>
      <c r="P6" s="3" t="n"/>
      <c r="Q6" s="3" t="inlineStr">
        <is>
          <t>Approve</t>
        </is>
      </c>
      <c r="R6" s="3" t="n"/>
      <c r="S6" s="3" t="n"/>
      <c r="T6" s="3" t="n"/>
      <c r="U6" s="3" t="inlineStr">
        <is>
          <t>Approve</t>
        </is>
      </c>
      <c r="V6" s="3" t="n"/>
      <c r="W6" s="3" t="n"/>
      <c r="X6" s="3" t="n"/>
      <c r="Y6" s="3" t="inlineStr">
        <is>
          <t>Do not approve</t>
        </is>
      </c>
      <c r="Z6" s="3" t="inlineStr">
        <is>
          <t>detectors are advisory.
FCCPS will … (proposed by TEST 05)</t>
        </is>
      </c>
      <c r="AA6" s="3" t="inlineStr">
        <is>
          <t>TR4 — Privacy, security &amp; data minimization; TR5 — Student safety &amp; developmental appropriateness; TR7 — Feasibility, workload &amp; sustainability</t>
        </is>
      </c>
      <c r="AB6" s="3" t="n"/>
      <c r="AC6" s="3" t="inlineStr">
        <is>
          <t>Do not approve</t>
        </is>
      </c>
      <c r="AD6" s="3" t="inlineStr">
        <is>
          <t>student disclosure.
FCCPS will … (proposed by TEST 05)</t>
        </is>
      </c>
      <c r="AE6" s="3" t="inlineStr">
        <is>
          <t>TR5 — Student safety &amp; developmental appropriateness; TR1 — Learning impact &amp; deep skills</t>
        </is>
      </c>
      <c r="AF6" s="3" t="n"/>
      <c r="AG6" s="3" t="inlineStr">
        <is>
          <t>Approve</t>
        </is>
      </c>
      <c r="AH6" s="3" t="n"/>
      <c r="AI6" s="3" t="inlineStr">
        <is>
          <t>TR3 — Equity, accessibility &amp; inclusion; TR8 — Evidence, monitoring &amp; reversibility; TR5 — Student safety &amp; developmental appropriateness</t>
        </is>
      </c>
      <c r="AJ6" s="3" t="n"/>
      <c r="AK6" s="3" t="inlineStr">
        <is>
          <t>Approve</t>
        </is>
      </c>
      <c r="AL6" s="3" t="n"/>
      <c r="AM6" s="3" t="inlineStr">
        <is>
          <t>TR3 — Equity, accessibility &amp; inclusion; TR4 — Privacy, security &amp; data minimization; TR2 — Assessment validity &amp; academic integrity</t>
        </is>
      </c>
      <c r="AN6" s="3" t="n"/>
      <c r="AO6" s="3" t="inlineStr">
        <is>
          <t>Approve</t>
        </is>
      </c>
      <c r="AP6" s="3" t="n"/>
      <c r="AQ6" s="3" t="n"/>
      <c r="AR6" s="3" t="n"/>
      <c r="AS6" s="3" t="inlineStr">
        <is>
          <t>Do not approve</t>
        </is>
      </c>
      <c r="AT6" s="3" t="inlineStr">
        <is>
          <t>UDL augmentation with checks.
FCCPS will … (proposed by TEST 05)</t>
        </is>
      </c>
      <c r="AU6" s="3" t="inlineStr">
        <is>
          <t>TR8 — Evidence, monitoring &amp; reversibility; TR1 — Learning impact &amp; deep skills</t>
        </is>
      </c>
      <c r="AV6" s="3" t="inlineStr">
        <is>
          <t>Concern: clarify scope / add guardrail.</t>
        </is>
      </c>
      <c r="AW6" s="3" t="inlineStr">
        <is>
          <t>Approve</t>
        </is>
      </c>
      <c r="AX6" s="3" t="n"/>
      <c r="AY6" s="3" t="n"/>
      <c r="AZ6" s="3" t="n"/>
      <c r="BA6" s="3" t="inlineStr">
        <is>
          <t>Approve</t>
        </is>
      </c>
      <c r="BB6" s="3" t="n"/>
      <c r="BC6" s="3" t="inlineStr">
        <is>
          <t>TR6 — Transparency, accountability &amp; community trust; TR2 — Assessment validity &amp; academic integrity</t>
        </is>
      </c>
      <c r="BD6" s="3" t="n"/>
      <c r="BE6" s="3" t="inlineStr">
        <is>
          <t>Approve</t>
        </is>
      </c>
      <c r="BF6" s="3" t="n"/>
      <c r="BG6" s="3" t="inlineStr">
        <is>
          <t>TR2 — Assessment validity &amp; academic integrity</t>
        </is>
      </c>
      <c r="BH6" s="3" t="n"/>
      <c r="BI6" s="3" t="inlineStr">
        <is>
          <t>Approve</t>
        </is>
      </c>
      <c r="BJ6" s="3" t="n"/>
      <c r="BK6" s="3" t="inlineStr">
        <is>
          <t>TR4 — Privacy, security &amp; data minimization; TR6 — Transparency, accountability &amp; community trust; TR1 — Learning impact &amp; deep skills</t>
        </is>
      </c>
      <c r="BL6" s="3" t="n"/>
      <c r="BM6" s="3" t="inlineStr">
        <is>
          <t>Approve</t>
        </is>
      </c>
      <c r="BN6" s="3" t="n"/>
      <c r="BO6" s="3" t="n"/>
      <c r="BP6" s="3" t="n"/>
      <c r="BQ6" s="3" t="inlineStr">
        <is>
          <t>Approve</t>
        </is>
      </c>
      <c r="BR6" s="3" t="n"/>
      <c r="BS6" s="3" t="n"/>
      <c r="BT6" s="3" t="n"/>
      <c r="BU6" s="3" t="inlineStr">
        <is>
          <t>Approve</t>
        </is>
      </c>
      <c r="BV6" s="3" t="n"/>
      <c r="BW6" s="3" t="inlineStr">
        <is>
          <t>TR8 — Evidence, monitoring &amp; reversibility; TR4 — Privacy, security &amp; data minimization</t>
        </is>
      </c>
      <c r="BX6" s="3" t="n"/>
      <c r="BY6" s="3" t="inlineStr">
        <is>
          <t>Approve</t>
        </is>
      </c>
      <c r="BZ6" s="3" t="n"/>
      <c r="CA6" s="3" t="inlineStr">
        <is>
          <t>TR7 — Feasibility, workload &amp; sustainability</t>
        </is>
      </c>
      <c r="CB6" s="3" t="n"/>
      <c r="CC6" s="3" t="inlineStr">
        <is>
          <t>Approve</t>
        </is>
      </c>
      <c r="CD6" s="3" t="n"/>
      <c r="CE6" s="3" t="inlineStr">
        <is>
          <t>TR5 — Student safety &amp; developmental appropriateness; TR3 — Equity, accessibility &amp; inclusion</t>
        </is>
      </c>
      <c r="CF6" s="3" t="n"/>
      <c r="CG6" s="3" t="inlineStr">
        <is>
          <t>Do not approve</t>
        </is>
      </c>
      <c r="CH6" s="3" t="inlineStr">
        <is>
          <t>visible thinking.
FCCPS will … (proposed by TEST 05)</t>
        </is>
      </c>
      <c r="CI6" s="3" t="inlineStr">
        <is>
          <t>TR2 — Assessment validity &amp; academic integrity; TR6 — Transparency, accountability &amp; community trust; TR4 — Privacy, security &amp; data minimization</t>
        </is>
      </c>
      <c r="CJ6" s="3" t="n"/>
      <c r="CK6" s="3" t="inlineStr">
        <is>
          <t>Approve</t>
        </is>
      </c>
      <c r="CL6" s="3" t="n"/>
      <c r="CM6" s="3" t="n"/>
      <c r="CN6" s="3" t="n"/>
      <c r="CO6" s="3" t="inlineStr">
        <is>
          <t>Approve</t>
        </is>
      </c>
      <c r="CP6" s="3" t="n"/>
      <c r="CQ6" s="3" t="inlineStr">
        <is>
          <t>TR7 — Feasibility, workload &amp; sustainability</t>
        </is>
      </c>
      <c r="CR6" s="3" t="n"/>
      <c r="CS6" s="3" t="inlineStr">
        <is>
          <t>Option B</t>
        </is>
      </c>
      <c r="CT6" s="3" t="inlineStr">
        <is>
          <t>TR8 — Evidence, monitoring &amp; reversibility</t>
        </is>
      </c>
      <c r="CU6" s="3" t="n"/>
      <c r="CV6" s="3" t="n"/>
      <c r="CW6" s="3" t="inlineStr">
        <is>
          <t>Option C</t>
        </is>
      </c>
      <c r="CX6" s="3" t="inlineStr">
        <is>
          <t>TR8 — Evidence, monitoring &amp; reversibility; TR4 — Privacy, security &amp; data minimization; TR3 — Equity, accessibility &amp; inclusion</t>
        </is>
      </c>
      <c r="CY6" s="3" t="n"/>
      <c r="CZ6" s="3" t="n"/>
      <c r="DA6" s="3" t="inlineStr">
        <is>
          <t>Option C</t>
        </is>
      </c>
      <c r="DB6" s="3" t="inlineStr">
        <is>
          <t>TR5 — Student safety &amp; developmental appropriateness; TR4 — Privacy, security &amp; data minimization</t>
        </is>
      </c>
      <c r="DC6" s="3" t="inlineStr">
        <is>
          <t>Rationale: prefer hybrid.</t>
        </is>
      </c>
      <c r="DD6" s="3" t="n"/>
      <c r="DE6" s="3" t="inlineStr">
        <is>
          <t>Option C</t>
        </is>
      </c>
      <c r="DF6" s="3" t="inlineStr">
        <is>
          <t>TR5 — Student safety &amp; developmental appropriateness; TR1 — Learning impact &amp; deep skills</t>
        </is>
      </c>
      <c r="DG6" s="3" t="n"/>
      <c r="DH6" s="3" t="n"/>
      <c r="DI6" s="3" t="inlineStr">
        <is>
          <t>Option A</t>
        </is>
      </c>
      <c r="DJ6" s="3" t="n"/>
      <c r="DK6" s="3" t="inlineStr">
        <is>
          <t>Rationale: prefer hybrid.</t>
        </is>
      </c>
      <c r="DL6" s="3" t="n"/>
      <c r="DM6" s="3" t="inlineStr">
        <is>
          <t>Option B</t>
        </is>
      </c>
      <c r="DN6" s="3" t="inlineStr">
        <is>
          <t>TR1 — Learning impact &amp; deep skills; TR3 — Equity, accessibility &amp; inclusion; TR6 — Transparency, accountability &amp; community trust</t>
        </is>
      </c>
      <c r="DO6" s="3" t="n"/>
      <c r="DP6" s="3" t="n"/>
      <c r="DQ6" s="3" t="inlineStr">
        <is>
          <t>Option C</t>
        </is>
      </c>
      <c r="DR6" s="3" t="inlineStr">
        <is>
          <t>TR2 — Assessment validity &amp; academic integrity; TR7 — Feasibility, workload &amp; sustainability</t>
        </is>
      </c>
      <c r="DS6" s="3" t="inlineStr">
        <is>
          <t>Rationale: prefer hybrid.</t>
        </is>
      </c>
      <c r="DT6" s="3" t="n"/>
      <c r="DU6" s="3" t="inlineStr">
        <is>
          <t>F3-19 (P-GGA) learning-evidence threshold; F3-05 (P-AAI) design before bans; F3-04 (P-AAI) common use-case language; S03 (P-AAI) Process evidence; F3-22 (P-TPW) teacher-owned feedback; S04 (P-AAI) No detector-only decisions; F3-14 (P-GGA) pilot plus off-ramps; F3-12 (P-GGA) evaluate before scaling; F3-03 (P-TPC) accountable ownership</t>
        </is>
      </c>
      <c r="DV6" s="3" t="inlineStr">
        <is>
          <t>F3-19 (P-GGA) learning-evidence threshold; F3-05 (P-AAI) design before bans; F3-04 (P-AAI) common use-case language</t>
        </is>
      </c>
    </row>
    <row r="7" ht="130.5" customHeight="1">
      <c r="A7" s="2" t="n">
        <v>46074.39930555555</v>
      </c>
      <c r="B7" s="2" t="n">
        <v>46074.40486111111</v>
      </c>
      <c r="C7" s="3" t="inlineStr">
        <is>
          <t>TEST 06</t>
        </is>
      </c>
      <c r="D7" s="3" t="inlineStr">
        <is>
          <t>test06@example.org</t>
        </is>
      </c>
      <c r="E7" s="3" t="inlineStr">
        <is>
          <t>Approve</t>
        </is>
      </c>
      <c r="F7" s="3" t="n"/>
      <c r="G7" s="3" t="n"/>
      <c r="H7" s="3" t="n"/>
      <c r="I7" s="3" t="inlineStr">
        <is>
          <t>Approve</t>
        </is>
      </c>
      <c r="J7" s="3" t="n"/>
      <c r="K7" s="3" t="inlineStr">
        <is>
          <t>TR8 — Evidence, monitoring &amp; reversibility; TR1 — Learning impact &amp; deep skills; TR2 — Assessment validity &amp; academic integrity</t>
        </is>
      </c>
      <c r="L7" s="3" t="n"/>
      <c r="M7" s="3" t="inlineStr">
        <is>
          <t>Do not approve</t>
        </is>
      </c>
      <c r="N7" s="3" t="inlineStr">
        <is>
          <t>accountable ownership.
FCCPS will … (proposed by TEST 06)</t>
        </is>
      </c>
      <c r="O7" s="3" t="inlineStr">
        <is>
          <t>TR3 — Equity, accessibility &amp; inclusion; TR1 — Learning impact &amp; deep skills</t>
        </is>
      </c>
      <c r="P7" s="3" t="inlineStr">
        <is>
          <t>Concern: clarify scope / add guardrail.</t>
        </is>
      </c>
      <c r="Q7" s="3" t="inlineStr">
        <is>
          <t>Approve</t>
        </is>
      </c>
      <c r="R7" s="3" t="n"/>
      <c r="S7" s="3" t="inlineStr">
        <is>
          <t>TR8 — Evidence, monitoring &amp; reversibility; TR5 — Student safety &amp; developmental appropriateness; TR3 — Equity, accessibility &amp; inclusion</t>
        </is>
      </c>
      <c r="T7" s="3" t="n"/>
      <c r="U7" s="3" t="inlineStr">
        <is>
          <t>Approve</t>
        </is>
      </c>
      <c r="V7" s="3" t="n"/>
      <c r="W7" s="3" t="inlineStr">
        <is>
          <t>TR6 — Transparency, accountability &amp; community trust; TR7 — Feasibility, workload &amp; sustainability; TR8 — Evidence, monitoring &amp; reversibility</t>
        </is>
      </c>
      <c r="X7" s="3" t="n"/>
      <c r="Y7" s="3" t="inlineStr">
        <is>
          <t>Approve</t>
        </is>
      </c>
      <c r="Z7" s="3" t="n"/>
      <c r="AA7" s="3" t="inlineStr">
        <is>
          <t>TR5 — Student safety &amp; developmental appropriateness</t>
        </is>
      </c>
      <c r="AB7" s="3" t="n"/>
      <c r="AC7" s="3" t="inlineStr">
        <is>
          <t>Approve</t>
        </is>
      </c>
      <c r="AD7" s="3" t="n"/>
      <c r="AE7" s="3" t="inlineStr">
        <is>
          <t>TR8 — Evidence, monitoring &amp; reversibility</t>
        </is>
      </c>
      <c r="AF7" s="3" t="n"/>
      <c r="AG7" s="3" t="inlineStr">
        <is>
          <t>Approve</t>
        </is>
      </c>
      <c r="AH7" s="3" t="n"/>
      <c r="AI7" s="3" t="inlineStr">
        <is>
          <t>TR6 — Transparency, accountability &amp; community trust; TR3 — Equity, accessibility &amp; inclusion</t>
        </is>
      </c>
      <c r="AJ7" s="3" t="n"/>
      <c r="AK7" s="3" t="inlineStr">
        <is>
          <t>Approve</t>
        </is>
      </c>
      <c r="AL7" s="3" t="n"/>
      <c r="AM7" s="3" t="inlineStr">
        <is>
          <t>TR5 — Student safety &amp; developmental appropriateness</t>
        </is>
      </c>
      <c r="AN7" s="3" t="n"/>
      <c r="AO7" s="3" t="inlineStr">
        <is>
          <t>Approve</t>
        </is>
      </c>
      <c r="AP7" s="3" t="n"/>
      <c r="AQ7" s="3" t="inlineStr">
        <is>
          <t>TR4 — Privacy, security &amp; data minimization</t>
        </is>
      </c>
      <c r="AR7" s="3" t="n"/>
      <c r="AS7" s="3" t="inlineStr">
        <is>
          <t>Approve</t>
        </is>
      </c>
      <c r="AT7" s="3" t="n"/>
      <c r="AU7" s="3" t="inlineStr">
        <is>
          <t>TR1 — Learning impact &amp; deep skills</t>
        </is>
      </c>
      <c r="AV7" s="3" t="n"/>
      <c r="AW7" s="3" t="inlineStr">
        <is>
          <t>Approve</t>
        </is>
      </c>
      <c r="AX7" s="3" t="n"/>
      <c r="AY7" s="3" t="n"/>
      <c r="AZ7" s="3" t="n"/>
      <c r="BA7" s="3" t="inlineStr">
        <is>
          <t>Approve</t>
        </is>
      </c>
      <c r="BB7" s="3" t="n"/>
      <c r="BC7" s="3" t="inlineStr">
        <is>
          <t>TR1 — Learning impact &amp; deep skills; TR5 — Student safety &amp; developmental appropriateness; TR8 — Evidence, monitoring &amp; reversibility</t>
        </is>
      </c>
      <c r="BD7" s="3" t="n"/>
      <c r="BE7" s="3" t="inlineStr">
        <is>
          <t>Approve</t>
        </is>
      </c>
      <c r="BF7" s="3" t="n"/>
      <c r="BG7" s="3" t="inlineStr">
        <is>
          <t>TR2 — Assessment validity &amp; academic integrity; TR7 — Feasibility, workload &amp; sustainability</t>
        </is>
      </c>
      <c r="BH7" s="3" t="n"/>
      <c r="BI7" s="3" t="inlineStr">
        <is>
          <t>Approve</t>
        </is>
      </c>
      <c r="BJ7" s="3" t="n"/>
      <c r="BK7" s="3" t="inlineStr">
        <is>
          <t>TR4 — Privacy, security &amp; data minimization</t>
        </is>
      </c>
      <c r="BL7" s="3" t="n"/>
      <c r="BM7" s="3" t="inlineStr">
        <is>
          <t>Approve</t>
        </is>
      </c>
      <c r="BN7" s="3" t="n"/>
      <c r="BO7" s="3" t="inlineStr">
        <is>
          <t>TR8 — Evidence, monitoring &amp; reversibility; TR4 — Privacy, security &amp; data minimization</t>
        </is>
      </c>
      <c r="BP7" s="3" t="n"/>
      <c r="BQ7" s="3" t="inlineStr">
        <is>
          <t>Approve</t>
        </is>
      </c>
      <c r="BR7" s="3" t="n"/>
      <c r="BS7" s="3" t="inlineStr">
        <is>
          <t>TR6 — Transparency, accountability &amp; community trust; TR4 — Privacy, security &amp; data minimization</t>
        </is>
      </c>
      <c r="BT7" s="3" t="n"/>
      <c r="BU7" s="3" t="inlineStr">
        <is>
          <t>Approve</t>
        </is>
      </c>
      <c r="BV7" s="3" t="n"/>
      <c r="BW7" s="3" t="n"/>
      <c r="BX7" s="3" t="n"/>
      <c r="BY7" s="3" t="inlineStr">
        <is>
          <t>Do not approve</t>
        </is>
      </c>
      <c r="BZ7" s="3" t="inlineStr">
        <is>
          <t>learning-evidence threshold.
FCCPS will … (proposed by TEST 06)</t>
        </is>
      </c>
      <c r="CA7" s="3" t="inlineStr">
        <is>
          <t>TR4 — Privacy, security &amp; data minimization; TR8 — Evidence, monitoring &amp; reversibility; TR7 — Feasibility, workload &amp; sustainability</t>
        </is>
      </c>
      <c r="CB7" s="3" t="n"/>
      <c r="CC7" s="3" t="inlineStr">
        <is>
          <t>Approve</t>
        </is>
      </c>
      <c r="CD7" s="3" t="n"/>
      <c r="CE7" s="3" t="inlineStr">
        <is>
          <t>TR6 — Transparency, accountability &amp; community trust</t>
        </is>
      </c>
      <c r="CF7" s="3" t="n"/>
      <c r="CG7" s="3" t="inlineStr">
        <is>
          <t>Approve</t>
        </is>
      </c>
      <c r="CH7" s="3" t="n"/>
      <c r="CI7" s="3" t="inlineStr">
        <is>
          <t>TR5 — Student safety &amp; developmental appropriateness; TR8 — Evidence, monitoring &amp; reversibility</t>
        </is>
      </c>
      <c r="CJ7" s="3" t="n"/>
      <c r="CK7" s="3" t="inlineStr">
        <is>
          <t>Approve</t>
        </is>
      </c>
      <c r="CL7" s="3" t="n"/>
      <c r="CM7" s="3" t="inlineStr">
        <is>
          <t>TR7 — Feasibility, workload &amp; sustainability</t>
        </is>
      </c>
      <c r="CN7" s="3" t="n"/>
      <c r="CO7" s="3" t="inlineStr">
        <is>
          <t>Approve</t>
        </is>
      </c>
      <c r="CP7" s="3" t="n"/>
      <c r="CQ7" s="3" t="n"/>
      <c r="CR7" s="3" t="n"/>
      <c r="CS7" s="3" t="inlineStr">
        <is>
          <t>Option B</t>
        </is>
      </c>
      <c r="CT7" s="3" t="inlineStr">
        <is>
          <t>TR2 — Assessment validity &amp; academic integrity; TR5 — Student safety &amp; developmental appropriateness</t>
        </is>
      </c>
      <c r="CU7" s="3" t="n"/>
      <c r="CV7" s="3" t="n"/>
      <c r="CW7" s="3" t="inlineStr">
        <is>
          <t>Option C</t>
        </is>
      </c>
      <c r="CX7" s="3" t="inlineStr">
        <is>
          <t>TR8 — Evidence, monitoring &amp; reversibility; TR3 — Equity, accessibility &amp; inclusion; TR1 — Learning impact &amp; deep skills</t>
        </is>
      </c>
      <c r="CY7" s="3" t="n"/>
      <c r="CZ7" s="3" t="n"/>
      <c r="DA7" s="3" t="inlineStr">
        <is>
          <t>Option A</t>
        </is>
      </c>
      <c r="DB7" s="3" t="n"/>
      <c r="DC7" s="3" t="inlineStr">
        <is>
          <t>Rationale: prefer hybrid.</t>
        </is>
      </c>
      <c r="DD7" s="3" t="n"/>
      <c r="DE7" s="3" t="inlineStr">
        <is>
          <t>Option B</t>
        </is>
      </c>
      <c r="DF7" s="3" t="inlineStr">
        <is>
          <t>TR5 — Student safety &amp; developmental appropriateness; TR2 — Assessment validity &amp; academic integrity</t>
        </is>
      </c>
      <c r="DG7" s="3" t="n"/>
      <c r="DH7" s="3" t="n"/>
      <c r="DI7" s="3" t="inlineStr">
        <is>
          <t>Option C</t>
        </is>
      </c>
      <c r="DJ7" s="3" t="inlineStr">
        <is>
          <t>TR6 — Transparency, accountability &amp; community trust; TR1 — Learning impact &amp; deep skills</t>
        </is>
      </c>
      <c r="DK7" s="3" t="n"/>
      <c r="DL7" s="3" t="n"/>
      <c r="DM7" s="3" t="inlineStr">
        <is>
          <t>Option B</t>
        </is>
      </c>
      <c r="DN7" s="3" t="inlineStr">
        <is>
          <t>TR8 — Evidence, monitoring &amp; reversibility; TR5 — Student safety &amp; developmental appropriateness</t>
        </is>
      </c>
      <c r="DO7" s="3" t="inlineStr">
        <is>
          <t>Rationale: prefer hybrid.</t>
        </is>
      </c>
      <c r="DP7" s="3" t="n"/>
      <c r="DQ7" s="3" t="inlineStr">
        <is>
          <t>Option B</t>
        </is>
      </c>
      <c r="DR7" s="3" t="inlineStr">
        <is>
          <t>TR4 — Privacy, security &amp; data minimization; TR8 — Evidence, monitoring &amp; reversibility</t>
        </is>
      </c>
      <c r="DS7" s="3" t="inlineStr">
        <is>
          <t>Rationale: prefer hybrid.</t>
        </is>
      </c>
      <c r="DT7" s="3" t="n"/>
      <c r="DU7" s="3" t="inlineStr">
        <is>
          <t>F3-22 (P-TPW) teacher-owned feedback; F3-04 (P-AAI) common use-case language; S06 (P-EAI) Human review for high-stakes; F3-12 (P-GGA) evaluate before scaling; F3-15 (P-GGA) notice plus consent where feasible; S12 (P-TPW) Support before expectation; S01 (P-LSD) Deep skills first; F3-18 (P-LSD) AI literacy; F3-10 (P-EAI) access plus supports; F3-01 (P-TPC) feedback channels; F3-07 (P-AAI) student disclosure</t>
        </is>
      </c>
      <c r="DV7" s="3" t="inlineStr">
        <is>
          <t>F3-22 (P-TPW) teacher-owned feedback; F3-04 (P-AAI) common use-case language; S06 (P-EAI) Human review for high-stakes</t>
        </is>
      </c>
    </row>
    <row r="8" ht="101.5" customHeight="1">
      <c r="A8" s="2" t="n">
        <v>46074.40416666667</v>
      </c>
      <c r="B8" s="2" t="n">
        <v>46074.4125</v>
      </c>
      <c r="C8" s="3" t="inlineStr">
        <is>
          <t>TEST 07</t>
        </is>
      </c>
      <c r="D8" s="3" t="inlineStr">
        <is>
          <t>test07@example.org</t>
        </is>
      </c>
      <c r="E8" s="3" t="inlineStr">
        <is>
          <t>Approve</t>
        </is>
      </c>
      <c r="F8" s="3" t="n"/>
      <c r="G8" s="3" t="inlineStr">
        <is>
          <t>TR7 — Feasibility, workload &amp; sustainability; TR5 — Student safety &amp; developmental appropriateness</t>
        </is>
      </c>
      <c r="H8" s="3" t="n"/>
      <c r="I8" s="3" t="inlineStr">
        <is>
          <t>Approve</t>
        </is>
      </c>
      <c r="J8" s="3" t="n"/>
      <c r="K8" s="3" t="inlineStr">
        <is>
          <t>TR3 — Equity, accessibility &amp; inclusion</t>
        </is>
      </c>
      <c r="L8" s="3" t="n"/>
      <c r="M8" s="3" t="inlineStr">
        <is>
          <t>Approve</t>
        </is>
      </c>
      <c r="N8" s="3" t="n"/>
      <c r="O8" s="3" t="inlineStr">
        <is>
          <t>TR5 — Student safety &amp; developmental appropriateness; TR7 — Feasibility, workload &amp; sustainability; TR1 — Learning impact &amp; deep skills</t>
        </is>
      </c>
      <c r="P8" s="3" t="n"/>
      <c r="Q8" s="3" t="inlineStr">
        <is>
          <t>Approve</t>
        </is>
      </c>
      <c r="R8" s="3" t="n"/>
      <c r="S8" s="3" t="n"/>
      <c r="T8" s="3" t="n"/>
      <c r="U8" s="3" t="inlineStr">
        <is>
          <t>Approve</t>
        </is>
      </c>
      <c r="V8" s="3" t="n"/>
      <c r="W8" s="3" t="inlineStr">
        <is>
          <t>TR1 — Learning impact &amp; deep skills; TR6 — Transparency, accountability &amp; community trust</t>
        </is>
      </c>
      <c r="X8" s="3" t="n"/>
      <c r="Y8" s="3" t="inlineStr">
        <is>
          <t>Do not approve</t>
        </is>
      </c>
      <c r="Z8" s="3" t="inlineStr">
        <is>
          <t>detectors are advisory.
FCCPS will … (proposed by TEST 07)</t>
        </is>
      </c>
      <c r="AA8" s="3" t="inlineStr">
        <is>
          <t>TR2 — Assessment validity &amp; academic integrity; TR5 — Student safety &amp; developmental appropriateness; TR7 — Feasibility, workload &amp; sustainability</t>
        </is>
      </c>
      <c r="AB8" s="3" t="inlineStr">
        <is>
          <t>Concern: clarify scope / add guardrail.</t>
        </is>
      </c>
      <c r="AC8" s="3" t="inlineStr">
        <is>
          <t>Approve</t>
        </is>
      </c>
      <c r="AD8" s="3" t="n"/>
      <c r="AE8" s="3" t="inlineStr">
        <is>
          <t>TR2 — Assessment validity &amp; academic integrity; TR3 — Equity, accessibility &amp; inclusion</t>
        </is>
      </c>
      <c r="AF8" s="3" t="n"/>
      <c r="AG8" s="3" t="inlineStr">
        <is>
          <t>Approve</t>
        </is>
      </c>
      <c r="AH8" s="3" t="n"/>
      <c r="AI8" s="3" t="inlineStr">
        <is>
          <t>TR2 — Assessment validity &amp; academic integrity; TR1 — Learning impact &amp; deep skills</t>
        </is>
      </c>
      <c r="AJ8" s="3" t="n"/>
      <c r="AK8" s="3" t="inlineStr">
        <is>
          <t>Approve</t>
        </is>
      </c>
      <c r="AL8" s="3" t="n"/>
      <c r="AM8" s="3" t="inlineStr">
        <is>
          <t>TR2 — Assessment validity &amp; academic integrity</t>
        </is>
      </c>
      <c r="AN8" s="3" t="n"/>
      <c r="AO8" s="3" t="inlineStr">
        <is>
          <t>Approve</t>
        </is>
      </c>
      <c r="AP8" s="3" t="n"/>
      <c r="AQ8" s="3" t="inlineStr">
        <is>
          <t>TR4 — Privacy, security &amp; data minimization; TR6 — Transparency, accountability &amp; community trust; TR2 — Assessment validity &amp; academic integrity</t>
        </is>
      </c>
      <c r="AR8" s="3" t="n"/>
      <c r="AS8" s="3" t="inlineStr">
        <is>
          <t>Approve</t>
        </is>
      </c>
      <c r="AT8" s="3" t="n"/>
      <c r="AU8" s="3" t="inlineStr">
        <is>
          <t>TR8 — Evidence, monitoring &amp; reversibility; TR4 — Privacy, security &amp; data minimization</t>
        </is>
      </c>
      <c r="AV8" s="3" t="n"/>
      <c r="AW8" s="3" t="inlineStr">
        <is>
          <t>Approve</t>
        </is>
      </c>
      <c r="AX8" s="3" t="n"/>
      <c r="AY8" s="3" t="inlineStr">
        <is>
          <t>TR3 — Equity, accessibility &amp; inclusion; TR4 — Privacy, security &amp; data minimization</t>
        </is>
      </c>
      <c r="AZ8" s="3" t="n"/>
      <c r="BA8" s="3" t="inlineStr">
        <is>
          <t>Approve</t>
        </is>
      </c>
      <c r="BB8" s="3" t="n"/>
      <c r="BC8" s="3" t="n"/>
      <c r="BD8" s="3" t="n"/>
      <c r="BE8" s="3" t="inlineStr">
        <is>
          <t>Approve</t>
        </is>
      </c>
      <c r="BF8" s="3" t="n"/>
      <c r="BG8" s="3" t="n"/>
      <c r="BH8" s="3" t="n"/>
      <c r="BI8" s="3" t="inlineStr">
        <is>
          <t>Approve</t>
        </is>
      </c>
      <c r="BJ8" s="3" t="n"/>
      <c r="BK8" s="3" t="inlineStr">
        <is>
          <t>TR1 — Learning impact &amp; deep skills; TR7 — Feasibility, workload &amp; sustainability</t>
        </is>
      </c>
      <c r="BL8" s="3" t="n"/>
      <c r="BM8" s="3" t="inlineStr">
        <is>
          <t>Approve</t>
        </is>
      </c>
      <c r="BN8" s="3" t="n"/>
      <c r="BO8" s="3" t="n"/>
      <c r="BP8" s="3" t="n"/>
      <c r="BQ8" s="3" t="inlineStr">
        <is>
          <t>Do not approve</t>
        </is>
      </c>
      <c r="BR8" s="3" t="inlineStr">
        <is>
          <t>risk-based restrictions.
FCCPS will … (proposed by TEST 07)</t>
        </is>
      </c>
      <c r="BS8" s="3" t="n"/>
      <c r="BT8" s="3" t="inlineStr">
        <is>
          <t>Concern: clarify scope / add guardrail.</t>
        </is>
      </c>
      <c r="BU8" s="3" t="inlineStr">
        <is>
          <t>Approve</t>
        </is>
      </c>
      <c r="BV8" s="3" t="n"/>
      <c r="BW8" s="3" t="n"/>
      <c r="BX8" s="3" t="n"/>
      <c r="BY8" s="3" t="inlineStr">
        <is>
          <t>Approve</t>
        </is>
      </c>
      <c r="BZ8" s="3" t="n"/>
      <c r="CA8" s="3" t="inlineStr">
        <is>
          <t>TR3 — Equity, accessibility &amp; inclusion; TR2 — Assessment validity &amp; academic integrity; TR6 — Transparency, accountability &amp; community trust</t>
        </is>
      </c>
      <c r="CB8" s="3" t="n"/>
      <c r="CC8" s="3" t="inlineStr">
        <is>
          <t>Approve</t>
        </is>
      </c>
      <c r="CD8" s="3" t="n"/>
      <c r="CE8" s="3" t="inlineStr">
        <is>
          <t>TR3 — Equity, accessibility &amp; inclusion; TR8 — Evidence, monitoring &amp; reversibility; TR2 — Assessment validity &amp; academic integrity</t>
        </is>
      </c>
      <c r="CF8" s="3" t="n"/>
      <c r="CG8" s="3" t="inlineStr">
        <is>
          <t>Approve</t>
        </is>
      </c>
      <c r="CH8" s="3" t="n"/>
      <c r="CI8" s="3" t="inlineStr">
        <is>
          <t>TR5 — Student safety &amp; developmental appropriateness; TR1 — Learning impact &amp; deep skills</t>
        </is>
      </c>
      <c r="CJ8" s="3" t="n"/>
      <c r="CK8" s="3" t="inlineStr">
        <is>
          <t>Approve</t>
        </is>
      </c>
      <c r="CL8" s="3" t="n"/>
      <c r="CM8" s="3" t="n"/>
      <c r="CN8" s="3" t="n"/>
      <c r="CO8" s="3" t="inlineStr">
        <is>
          <t>Approve</t>
        </is>
      </c>
      <c r="CP8" s="3" t="n"/>
      <c r="CQ8" s="3" t="inlineStr">
        <is>
          <t>TR3 — Equity, accessibility &amp; inclusion</t>
        </is>
      </c>
      <c r="CR8" s="3" t="n"/>
      <c r="CS8" s="3" t="inlineStr">
        <is>
          <t>Need more info</t>
        </is>
      </c>
      <c r="CT8" s="3" t="inlineStr">
        <is>
          <t>TR1 — Learning impact &amp; deep skills; TR5 — Student safety &amp; developmental appropriateness; TR4 — Privacy, security &amp; data minimization</t>
        </is>
      </c>
      <c r="CU8" s="3" t="inlineStr">
        <is>
          <t>Rationale: prefer hybrid.</t>
        </is>
      </c>
      <c r="CV8" s="3" t="inlineStr">
        <is>
          <t>Need definition + example.</t>
        </is>
      </c>
      <c r="CW8" s="3" t="inlineStr">
        <is>
          <t>Option A</t>
        </is>
      </c>
      <c r="CX8" s="3" t="n"/>
      <c r="CY8" s="3" t="n"/>
      <c r="CZ8" s="3" t="n"/>
      <c r="DA8" s="3" t="inlineStr">
        <is>
          <t>Option B</t>
        </is>
      </c>
      <c r="DB8" s="3" t="inlineStr">
        <is>
          <t>TR8 — Evidence, monitoring &amp; reversibility</t>
        </is>
      </c>
      <c r="DC8" s="3" t="n"/>
      <c r="DD8" s="3" t="n"/>
      <c r="DE8" s="3" t="inlineStr">
        <is>
          <t>Option A</t>
        </is>
      </c>
      <c r="DF8" s="3" t="inlineStr">
        <is>
          <t>TR5 — Student safety &amp; developmental appropriateness</t>
        </is>
      </c>
      <c r="DG8" s="3" t="n"/>
      <c r="DH8" s="3" t="n"/>
      <c r="DI8" s="3" t="inlineStr">
        <is>
          <t>Need more info</t>
        </is>
      </c>
      <c r="DJ8" s="3" t="inlineStr">
        <is>
          <t>TR8 — Evidence, monitoring &amp; reversibility; TR7 — Feasibility, workload &amp; sustainability</t>
        </is>
      </c>
      <c r="DK8" s="3" t="n"/>
      <c r="DL8" s="3" t="inlineStr">
        <is>
          <t>Need definition + example.</t>
        </is>
      </c>
      <c r="DM8" s="3" t="inlineStr">
        <is>
          <t>Option C</t>
        </is>
      </c>
      <c r="DN8" s="3" t="inlineStr">
        <is>
          <t>TR2 — Assessment validity &amp; academic integrity; TR4 — Privacy, security &amp; data minimization</t>
        </is>
      </c>
      <c r="DO8" s="3" t="inlineStr">
        <is>
          <t>Rationale: prefer hybrid.</t>
        </is>
      </c>
      <c r="DP8" s="3" t="n"/>
      <c r="DQ8" s="3" t="inlineStr">
        <is>
          <t>Option B</t>
        </is>
      </c>
      <c r="DR8" s="3" t="inlineStr">
        <is>
          <t>TR3 — Equity, accessibility &amp; inclusion</t>
        </is>
      </c>
      <c r="DS8" s="3" t="inlineStr">
        <is>
          <t>Rationale: prefer hybrid.</t>
        </is>
      </c>
      <c r="DT8" s="3" t="n"/>
      <c r="DU8" s="3" t="inlineStr">
        <is>
          <t>F3-22 (P-TPW) teacher-owned feedback; F3-23 (P-TPW) educator voice in governance; F3-06 (P-AAI) detectors are advisory; S04 (P-AAI) No detector-only decisions; F3-10 (P-EAI) access plus supports; F3-18 (P-LSD) AI literacy; S08 (P-TPC) Plain-language transparency; S01 (P-LSD) Deep skills first; F3-04 (P-AAI) common use-case language</t>
        </is>
      </c>
      <c r="DV8" s="3" t="inlineStr">
        <is>
          <t>F3-22 (P-TPW) teacher-owned feedback; F3-23 (P-TPW) educator voice in governance; F3-06 (P-AAI) detectors are advisory</t>
        </is>
      </c>
    </row>
    <row r="9" ht="116" customHeight="1">
      <c r="A9" s="2" t="n">
        <v>46074.40902777778</v>
      </c>
      <c r="B9" s="2" t="n">
        <v>46074.41666666666</v>
      </c>
      <c r="C9" s="3" t="inlineStr">
        <is>
          <t>TEST 08</t>
        </is>
      </c>
      <c r="D9" s="3" t="inlineStr">
        <is>
          <t>test08@example.org</t>
        </is>
      </c>
      <c r="E9" s="3" t="inlineStr">
        <is>
          <t>Do not approve</t>
        </is>
      </c>
      <c r="F9" s="3" t="inlineStr">
        <is>
          <t>feedback channels.
FCCPS will … (proposed by TEST 08)</t>
        </is>
      </c>
      <c r="G9" s="3" t="inlineStr">
        <is>
          <t>TR3 — Equity, accessibility &amp; inclusion; TR4 — Privacy, security &amp; data minimization; TR2 — Assessment validity &amp; academic integrity</t>
        </is>
      </c>
      <c r="H9" s="3" t="n"/>
      <c r="I9" s="3" t="inlineStr">
        <is>
          <t>Approve</t>
        </is>
      </c>
      <c r="J9" s="3" t="n"/>
      <c r="K9" s="3" t="inlineStr">
        <is>
          <t>TR5 — Student safety &amp; developmental appropriateness</t>
        </is>
      </c>
      <c r="L9" s="3" t="n"/>
      <c r="M9" s="3" t="inlineStr">
        <is>
          <t>Approve</t>
        </is>
      </c>
      <c r="N9" s="3" t="n"/>
      <c r="O9" s="3" t="n"/>
      <c r="P9" s="3" t="n"/>
      <c r="Q9" s="3" t="inlineStr">
        <is>
          <t>Approve</t>
        </is>
      </c>
      <c r="R9" s="3" t="n"/>
      <c r="S9" s="3" t="inlineStr">
        <is>
          <t>TR1 — Learning impact &amp; deep skills</t>
        </is>
      </c>
      <c r="T9" s="3" t="n"/>
      <c r="U9" s="3" t="inlineStr">
        <is>
          <t>Approve</t>
        </is>
      </c>
      <c r="V9" s="3" t="n"/>
      <c r="W9" s="3" t="inlineStr">
        <is>
          <t>TR3 — Equity, accessibility &amp; inclusion</t>
        </is>
      </c>
      <c r="X9" s="3" t="n"/>
      <c r="Y9" s="3" t="inlineStr">
        <is>
          <t>Approve</t>
        </is>
      </c>
      <c r="Z9" s="3" t="n"/>
      <c r="AA9" s="3" t="inlineStr">
        <is>
          <t>TR2 — Assessment validity &amp; academic integrity; TR4 — Privacy, security &amp; data minimization</t>
        </is>
      </c>
      <c r="AB9" s="3" t="n"/>
      <c r="AC9" s="3" t="inlineStr">
        <is>
          <t>Approve</t>
        </is>
      </c>
      <c r="AD9" s="3" t="n"/>
      <c r="AE9" s="3" t="n"/>
      <c r="AF9" s="3" t="n"/>
      <c r="AG9" s="3" t="inlineStr">
        <is>
          <t>Do not approve</t>
        </is>
      </c>
      <c r="AH9" s="3" t="inlineStr">
        <is>
          <t>non-AI path.
FCCPS will … (proposed by TEST 08)</t>
        </is>
      </c>
      <c r="AI9" s="3" t="inlineStr">
        <is>
          <t>TR1 — Learning impact &amp; deep skills; TR7 — Feasibility, workload &amp; sustainability</t>
        </is>
      </c>
      <c r="AJ9" s="3" t="inlineStr">
        <is>
          <t>Concern: clarify scope / add guardrail.</t>
        </is>
      </c>
      <c r="AK9" s="3" t="inlineStr">
        <is>
          <t>Approve</t>
        </is>
      </c>
      <c r="AL9" s="3" t="n"/>
      <c r="AM9" s="3" t="n"/>
      <c r="AN9" s="3" t="n"/>
      <c r="AO9" s="3" t="inlineStr">
        <is>
          <t>Do not approve</t>
        </is>
      </c>
      <c r="AP9" s="3" t="inlineStr">
        <is>
          <t>access plus supports.
FCCPS will … (proposed by TEST 08)</t>
        </is>
      </c>
      <c r="AQ9" s="3" t="inlineStr">
        <is>
          <t>TR4 — Privacy, security &amp; data minimization; TR1 — Learning impact &amp; deep skills; TR5 — Student safety &amp; developmental appropriateness</t>
        </is>
      </c>
      <c r="AR9" s="3" t="inlineStr">
        <is>
          <t>Concern: clarify scope / add guardrail.</t>
        </is>
      </c>
      <c r="AS9" s="3" t="inlineStr">
        <is>
          <t>Approve</t>
        </is>
      </c>
      <c r="AT9" s="3" t="n"/>
      <c r="AU9" s="3" t="inlineStr">
        <is>
          <t>TR6 — Transparency, accountability &amp; community trust; TR3 — Equity, accessibility &amp; inclusion</t>
        </is>
      </c>
      <c r="AV9" s="3" t="n"/>
      <c r="AW9" s="3" t="inlineStr">
        <is>
          <t>Approve</t>
        </is>
      </c>
      <c r="AX9" s="3" t="n"/>
      <c r="AY9" s="3" t="inlineStr">
        <is>
          <t>TR8 — Evidence, monitoring &amp; reversibility; TR6 — Transparency, accountability &amp; community trust</t>
        </is>
      </c>
      <c r="AZ9" s="3" t="n"/>
      <c r="BA9" s="3" t="inlineStr">
        <is>
          <t>Approve</t>
        </is>
      </c>
      <c r="BB9" s="3" t="n"/>
      <c r="BC9" s="3" t="inlineStr">
        <is>
          <t>TR2 — Assessment validity &amp; academic integrity; TR6 — Transparency, accountability &amp; community trust</t>
        </is>
      </c>
      <c r="BD9" s="3" t="n"/>
      <c r="BE9" s="3" t="inlineStr">
        <is>
          <t>Approve</t>
        </is>
      </c>
      <c r="BF9" s="3" t="n"/>
      <c r="BG9" s="3" t="inlineStr">
        <is>
          <t>TR8 — Evidence, monitoring &amp; reversibility; TR6 — Transparency, accountability &amp; community trust; TR1 — Learning impact &amp; deep skills</t>
        </is>
      </c>
      <c r="BH9" s="3" t="n"/>
      <c r="BI9" s="3" t="inlineStr">
        <is>
          <t>Approve</t>
        </is>
      </c>
      <c r="BJ9" s="3" t="n"/>
      <c r="BK9" s="3" t="n"/>
      <c r="BL9" s="3" t="n"/>
      <c r="BM9" s="3" t="inlineStr">
        <is>
          <t>Do not approve</t>
        </is>
      </c>
      <c r="BN9" s="3" t="inlineStr">
        <is>
          <t>prevent cognitive offloading.
FCCPS will … (proposed by TEST 08)</t>
        </is>
      </c>
      <c r="BO9" s="3" t="inlineStr">
        <is>
          <t>TR4 — Privacy, security &amp; data minimization; TR3 — Equity, accessibility &amp; inclusion; TR5 — Student safety &amp; developmental appropriateness</t>
        </is>
      </c>
      <c r="BP9" s="3" t="inlineStr">
        <is>
          <t>Concern: clarify scope / add guardrail.</t>
        </is>
      </c>
      <c r="BQ9" s="3" t="inlineStr">
        <is>
          <t>Approve</t>
        </is>
      </c>
      <c r="BR9" s="3" t="n"/>
      <c r="BS9" s="3" t="inlineStr">
        <is>
          <t>TR3 — Equity, accessibility &amp; inclusion</t>
        </is>
      </c>
      <c r="BT9" s="3" t="n"/>
      <c r="BU9" s="3" t="inlineStr">
        <is>
          <t>Approve</t>
        </is>
      </c>
      <c r="BV9" s="3" t="n"/>
      <c r="BW9" s="3" t="inlineStr">
        <is>
          <t>TR5 — Student safety &amp; developmental appropriateness; TR3 — Equity, accessibility &amp; inclusion; TR4 — Privacy, security &amp; data minimization</t>
        </is>
      </c>
      <c r="BX9" s="3" t="n"/>
      <c r="BY9" s="3" t="inlineStr">
        <is>
          <t>Approve</t>
        </is>
      </c>
      <c r="BZ9" s="3" t="n"/>
      <c r="CA9" s="3" t="n"/>
      <c r="CB9" s="3" t="n"/>
      <c r="CC9" s="3" t="inlineStr">
        <is>
          <t>Approve</t>
        </is>
      </c>
      <c r="CD9" s="3" t="n"/>
      <c r="CE9" s="3" t="inlineStr">
        <is>
          <t>TR7 — Feasibility, workload &amp; sustainability</t>
        </is>
      </c>
      <c r="CF9" s="3" t="n"/>
      <c r="CG9" s="3" t="inlineStr">
        <is>
          <t>Approve</t>
        </is>
      </c>
      <c r="CH9" s="3" t="n"/>
      <c r="CI9" s="3" t="inlineStr">
        <is>
          <t>TR5 — Student safety &amp; developmental appropriateness; TR3 — Equity, accessibility &amp; inclusion</t>
        </is>
      </c>
      <c r="CJ9" s="3" t="n"/>
      <c r="CK9" s="3" t="inlineStr">
        <is>
          <t>Approve</t>
        </is>
      </c>
      <c r="CL9" s="3" t="n"/>
      <c r="CM9" s="3" t="inlineStr">
        <is>
          <t>TR8 — Evidence, monitoring &amp; reversibility; TR7 — Feasibility, workload &amp; sustainability</t>
        </is>
      </c>
      <c r="CN9" s="3" t="n"/>
      <c r="CO9" s="3" t="inlineStr">
        <is>
          <t>Approve</t>
        </is>
      </c>
      <c r="CP9" s="3" t="n"/>
      <c r="CQ9" s="3" t="n"/>
      <c r="CR9" s="3" t="n"/>
      <c r="CS9" s="3" t="inlineStr">
        <is>
          <t>Option A</t>
        </is>
      </c>
      <c r="CT9" s="3" t="n"/>
      <c r="CU9" s="3" t="n"/>
      <c r="CV9" s="3" t="n"/>
      <c r="CW9" s="3" t="inlineStr">
        <is>
          <t>Option C</t>
        </is>
      </c>
      <c r="CX9" s="3" t="inlineStr">
        <is>
          <t>TR3 — Equity, accessibility &amp; inclusion</t>
        </is>
      </c>
      <c r="CY9" s="3" t="n"/>
      <c r="CZ9" s="3" t="n"/>
      <c r="DA9" s="3" t="inlineStr">
        <is>
          <t>Option A</t>
        </is>
      </c>
      <c r="DB9" s="3" t="inlineStr">
        <is>
          <t>TR2 — Assessment validity &amp; academic integrity; TR1 — Learning impact &amp; deep skills; TR8 — Evidence, monitoring &amp; reversibility</t>
        </is>
      </c>
      <c r="DC9" s="3" t="n"/>
      <c r="DD9" s="3" t="n"/>
      <c r="DE9" s="3" t="inlineStr">
        <is>
          <t>Need more info</t>
        </is>
      </c>
      <c r="DF9" s="3" t="inlineStr">
        <is>
          <t>TR7 — Feasibility, workload &amp; sustainability; TR8 — Evidence, monitoring &amp; reversibility; TR1 — Learning impact &amp; deep skills</t>
        </is>
      </c>
      <c r="DG9" s="3" t="n"/>
      <c r="DH9" s="3" t="inlineStr">
        <is>
          <t>Need definition + example.</t>
        </is>
      </c>
      <c r="DI9" s="3" t="inlineStr">
        <is>
          <t>Option C</t>
        </is>
      </c>
      <c r="DJ9" s="3" t="inlineStr">
        <is>
          <t>TR4 — Privacy, security &amp; data minimization</t>
        </is>
      </c>
      <c r="DK9" s="3" t="inlineStr">
        <is>
          <t>Rationale: prefer hybrid.</t>
        </is>
      </c>
      <c r="DL9" s="3" t="n"/>
      <c r="DM9" s="3" t="inlineStr">
        <is>
          <t>Option C</t>
        </is>
      </c>
      <c r="DN9" s="3" t="inlineStr">
        <is>
          <t>TR8 — Evidence, monitoring &amp; reversibility; TR3 — Equity, accessibility &amp; inclusion; TR4 — Privacy, security &amp; data minimization</t>
        </is>
      </c>
      <c r="DO9" s="3" t="inlineStr">
        <is>
          <t>Rationale: prefer hybrid.</t>
        </is>
      </c>
      <c r="DP9" s="3" t="n"/>
      <c r="DQ9" s="3" t="inlineStr">
        <is>
          <t>Option C</t>
        </is>
      </c>
      <c r="DR9" s="3" t="inlineStr">
        <is>
          <t>TR4 — Privacy, security &amp; data minimization; TR6 — Transparency, accountability &amp; community trust</t>
        </is>
      </c>
      <c r="DS9" s="3" t="inlineStr">
        <is>
          <t>Rationale: prefer hybrid.</t>
        </is>
      </c>
      <c r="DT9" s="3" t="n"/>
      <c r="DU9" s="3" t="inlineStr">
        <is>
          <t>S02 (P-LSD) AI as coach; F3-05 (P-AAI) design before bans; F3-10 (P-EAI) access plus supports; F3-01 (P-TPC) feedback channels; S11 (P-TPW) Teacher judgment leads; S10 (P-GGA) Evidence-driven updates; F3-09 (P-EAI) IEP/504 decisions stay human; F3-03 (P-TPC) accountable ownership; S04 (P-AAI) No detector-only decisions; F3-06 (P-AAI) detectors are advisory</t>
        </is>
      </c>
      <c r="DV9" s="3" t="inlineStr">
        <is>
          <t>S02 (P-LSD) AI as coach; F3-05 (P-AAI) design before bans; F3-10 (P-EAI) access plus supports</t>
        </is>
      </c>
    </row>
    <row r="10" ht="145" customHeight="1">
      <c r="A10" s="2" t="n">
        <v>46074.41388888889</v>
      </c>
      <c r="B10" s="2" t="n">
        <v>46074.42222222222</v>
      </c>
      <c r="C10" s="3" t="inlineStr">
        <is>
          <t>TEST 09</t>
        </is>
      </c>
      <c r="D10" s="3" t="inlineStr">
        <is>
          <t>test09@example.org</t>
        </is>
      </c>
      <c r="E10" s="3" t="inlineStr">
        <is>
          <t>Approve</t>
        </is>
      </c>
      <c r="F10" s="3" t="n"/>
      <c r="G10" s="3" t="inlineStr">
        <is>
          <t>TR2 — Assessment validity &amp; academic integrity; TR5 — Student safety &amp; developmental appropriateness</t>
        </is>
      </c>
      <c r="H10" s="3" t="n"/>
      <c r="I10" s="3" t="inlineStr">
        <is>
          <t>Approve</t>
        </is>
      </c>
      <c r="J10" s="3" t="n"/>
      <c r="K10" s="3" t="inlineStr">
        <is>
          <t>TR5 — Student safety &amp; developmental appropriateness; TR8 — Evidence, monitoring &amp; reversibility</t>
        </is>
      </c>
      <c r="L10" s="3" t="n"/>
      <c r="M10" s="3" t="inlineStr">
        <is>
          <t>Approve</t>
        </is>
      </c>
      <c r="N10" s="3" t="n"/>
      <c r="O10" s="3" t="inlineStr">
        <is>
          <t>TR4 — Privacy, security &amp; data minimization</t>
        </is>
      </c>
      <c r="P10" s="3" t="n"/>
      <c r="Q10" s="3" t="inlineStr">
        <is>
          <t>Do not approve</t>
        </is>
      </c>
      <c r="R10" s="3" t="inlineStr">
        <is>
          <t>common use-case language.
FCCPS will … (proposed by TEST 09)</t>
        </is>
      </c>
      <c r="S10" s="3" t="inlineStr">
        <is>
          <t>TR1 — Learning impact &amp; deep skills</t>
        </is>
      </c>
      <c r="T10" s="3" t="inlineStr">
        <is>
          <t>Concern: clarify scope / add guardrail.</t>
        </is>
      </c>
      <c r="U10" s="3" t="inlineStr">
        <is>
          <t>Approve</t>
        </is>
      </c>
      <c r="V10" s="3" t="n"/>
      <c r="W10" s="3" t="n"/>
      <c r="X10" s="3" t="n"/>
      <c r="Y10" s="3" t="inlineStr">
        <is>
          <t>Approve</t>
        </is>
      </c>
      <c r="Z10" s="3" t="n"/>
      <c r="AA10" s="3" t="inlineStr">
        <is>
          <t>TR7 — Feasibility, workload &amp; sustainability; TR6 — Transparency, accountability &amp; community trust; TR3 — Equity, accessibility &amp; inclusion</t>
        </is>
      </c>
      <c r="AB10" s="3" t="n"/>
      <c r="AC10" s="3" t="inlineStr">
        <is>
          <t>Approve</t>
        </is>
      </c>
      <c r="AD10" s="3" t="n"/>
      <c r="AE10" s="3" t="inlineStr">
        <is>
          <t>TR5 — Student safety &amp; developmental appropriateness; TR4 — Privacy, security &amp; data minimization</t>
        </is>
      </c>
      <c r="AF10" s="3" t="n"/>
      <c r="AG10" s="3" t="inlineStr">
        <is>
          <t>Do not approve</t>
        </is>
      </c>
      <c r="AH10" s="3" t="inlineStr">
        <is>
          <t>non-AI path.
FCCPS will … (proposed by TEST 09)</t>
        </is>
      </c>
      <c r="AI10" s="3" t="inlineStr">
        <is>
          <t>TR3 — Equity, accessibility &amp; inclusion; TR2 — Assessment validity &amp; academic integrity; TR5 — Student safety &amp; developmental appropriateness</t>
        </is>
      </c>
      <c r="AJ10" s="3" t="inlineStr">
        <is>
          <t>Concern: clarify scope / add guardrail.</t>
        </is>
      </c>
      <c r="AK10" s="3" t="inlineStr">
        <is>
          <t>Approve</t>
        </is>
      </c>
      <c r="AL10" s="3" t="n"/>
      <c r="AM10" s="3" t="inlineStr">
        <is>
          <t>TR3 — Equity, accessibility &amp; inclusion; TR6 — Transparency, accountability &amp; community trust</t>
        </is>
      </c>
      <c r="AN10" s="3" t="n"/>
      <c r="AO10" s="3" t="inlineStr">
        <is>
          <t>Do not approve</t>
        </is>
      </c>
      <c r="AP10" s="3" t="inlineStr">
        <is>
          <t>access plus supports.
FCCPS will … (proposed by TEST 09)</t>
        </is>
      </c>
      <c r="AQ10" s="3" t="inlineStr">
        <is>
          <t>TR3 — Equity, accessibility &amp; inclusion; TR1 — Learning impact &amp; deep skills</t>
        </is>
      </c>
      <c r="AR10" s="3" t="n"/>
      <c r="AS10" s="3" t="inlineStr">
        <is>
          <t>Approve</t>
        </is>
      </c>
      <c r="AT10" s="3" t="n"/>
      <c r="AU10" s="3" t="inlineStr">
        <is>
          <t>TR4 — Privacy, security &amp; data minimization; TR7 — Feasibility, workload &amp; sustainability</t>
        </is>
      </c>
      <c r="AV10" s="3" t="n"/>
      <c r="AW10" s="3" t="inlineStr">
        <is>
          <t>Approve</t>
        </is>
      </c>
      <c r="AX10" s="3" t="n"/>
      <c r="AY10" s="3" t="inlineStr">
        <is>
          <t>TR3 — Equity, accessibility &amp; inclusion</t>
        </is>
      </c>
      <c r="AZ10" s="3" t="n"/>
      <c r="BA10" s="3" t="inlineStr">
        <is>
          <t>Approve</t>
        </is>
      </c>
      <c r="BB10" s="3" t="n"/>
      <c r="BC10" s="3" t="n"/>
      <c r="BD10" s="3" t="n"/>
      <c r="BE10" s="3" t="inlineStr">
        <is>
          <t>Approve</t>
        </is>
      </c>
      <c r="BF10" s="3" t="n"/>
      <c r="BG10" s="3" t="inlineStr">
        <is>
          <t>TR3 — Equity, accessibility &amp; inclusion; TR7 — Feasibility, workload &amp; sustainability; TR6 — Transparency, accountability &amp; community trust</t>
        </is>
      </c>
      <c r="BH10" s="3" t="n"/>
      <c r="BI10" s="3" t="inlineStr">
        <is>
          <t>Approve</t>
        </is>
      </c>
      <c r="BJ10" s="3" t="n"/>
      <c r="BK10" s="3" t="inlineStr">
        <is>
          <t>TR1 — Learning impact &amp; deep skills; TR2 — Assessment validity &amp; academic integrity; TR7 — Feasibility, workload &amp; sustainability</t>
        </is>
      </c>
      <c r="BL10" s="3" t="n"/>
      <c r="BM10" s="3" t="inlineStr">
        <is>
          <t>Approve</t>
        </is>
      </c>
      <c r="BN10" s="3" t="n"/>
      <c r="BO10" s="3" t="n"/>
      <c r="BP10" s="3" t="n"/>
      <c r="BQ10" s="3" t="inlineStr">
        <is>
          <t>Approve</t>
        </is>
      </c>
      <c r="BR10" s="3" t="n"/>
      <c r="BS10" s="3" t="inlineStr">
        <is>
          <t>TR2 — Assessment validity &amp; academic integrity; TR5 — Student safety &amp; developmental appropriateness; TR4 — Privacy, security &amp; data minimization</t>
        </is>
      </c>
      <c r="BT10" s="3" t="n"/>
      <c r="BU10" s="3" t="inlineStr">
        <is>
          <t>Approve</t>
        </is>
      </c>
      <c r="BV10" s="3" t="n"/>
      <c r="BW10" s="3" t="inlineStr">
        <is>
          <t>TR5 — Student safety &amp; developmental appropriateness</t>
        </is>
      </c>
      <c r="BX10" s="3" t="n"/>
      <c r="BY10" s="3" t="inlineStr">
        <is>
          <t>Approve</t>
        </is>
      </c>
      <c r="BZ10" s="3" t="n"/>
      <c r="CA10" s="3" t="inlineStr">
        <is>
          <t>TR1 — Learning impact &amp; deep skills; TR6 — Transparency, accountability &amp; community trust</t>
        </is>
      </c>
      <c r="CB10" s="3" t="n"/>
      <c r="CC10" s="3" t="inlineStr">
        <is>
          <t>Do not approve</t>
        </is>
      </c>
      <c r="CD10" s="3" t="inlineStr">
        <is>
          <t>human-centered learning.
FCCPS will … (proposed by TEST 09)</t>
        </is>
      </c>
      <c r="CE10" s="3" t="inlineStr">
        <is>
          <t>TR7 — Feasibility, workload &amp; sustainability</t>
        </is>
      </c>
      <c r="CF10" s="3" t="n"/>
      <c r="CG10" s="3" t="inlineStr">
        <is>
          <t>Approve</t>
        </is>
      </c>
      <c r="CH10" s="3" t="n"/>
      <c r="CI10" s="3" t="inlineStr">
        <is>
          <t>TR6 — Transparency, accountability &amp; community trust; TR4 — Privacy, security &amp; data minimization; TR5 — Student safety &amp; developmental appropriateness</t>
        </is>
      </c>
      <c r="CJ10" s="3" t="n"/>
      <c r="CK10" s="3" t="inlineStr">
        <is>
          <t>Do not approve</t>
        </is>
      </c>
      <c r="CL10" s="3" t="inlineStr">
        <is>
          <t>teacher-owned feedback.
FCCPS will … (proposed by TEST 09)</t>
        </is>
      </c>
      <c r="CM10" s="3" t="inlineStr">
        <is>
          <t>TR5 — Student safety &amp; developmental appropriateness; TR4 — Privacy, security &amp; data minimization; TR7 — Feasibility, workload &amp; sustainability</t>
        </is>
      </c>
      <c r="CN10" s="3" t="n"/>
      <c r="CO10" s="3" t="inlineStr">
        <is>
          <t>Do not approve</t>
        </is>
      </c>
      <c r="CP10" s="3" t="inlineStr">
        <is>
          <t>educator voice in governance.
FCCPS will … (proposed by TEST 09)</t>
        </is>
      </c>
      <c r="CQ10" s="3" t="inlineStr">
        <is>
          <t>TR7 — Feasibility, workload &amp; sustainability; TR1 — Learning impact &amp; deep skills; TR5 — Student safety &amp; developmental appropriateness</t>
        </is>
      </c>
      <c r="CR10" s="3" t="inlineStr">
        <is>
          <t>Concern: clarify scope / add guardrail.</t>
        </is>
      </c>
      <c r="CS10" s="3" t="inlineStr">
        <is>
          <t>Need more info</t>
        </is>
      </c>
      <c r="CT10" s="3" t="inlineStr">
        <is>
          <t>TR7 — Feasibility, workload &amp; sustainability; TR4 — Privacy, security &amp; data minimization</t>
        </is>
      </c>
      <c r="CU10" s="3" t="inlineStr">
        <is>
          <t>Rationale: prefer hybrid.</t>
        </is>
      </c>
      <c r="CV10" s="3" t="inlineStr">
        <is>
          <t>Need definition + example.</t>
        </is>
      </c>
      <c r="CW10" s="3" t="inlineStr">
        <is>
          <t>Option B</t>
        </is>
      </c>
      <c r="CX10" s="3" t="n"/>
      <c r="CY10" s="3" t="n"/>
      <c r="CZ10" s="3" t="n"/>
      <c r="DA10" s="3" t="inlineStr">
        <is>
          <t>Option C</t>
        </is>
      </c>
      <c r="DB10" s="3" t="inlineStr">
        <is>
          <t>TR7 — Feasibility, workload &amp; sustainability; TR5 — Student safety &amp; developmental appropriateness; TR3 — Equity, accessibility &amp; inclusion</t>
        </is>
      </c>
      <c r="DC10" s="3" t="inlineStr">
        <is>
          <t>Rationale: prefer hybrid.</t>
        </is>
      </c>
      <c r="DD10" s="3" t="n"/>
      <c r="DE10" s="3" t="inlineStr">
        <is>
          <t>Option B</t>
        </is>
      </c>
      <c r="DF10" s="3" t="n"/>
      <c r="DG10" s="3" t="n"/>
      <c r="DH10" s="3" t="n"/>
      <c r="DI10" s="3" t="inlineStr">
        <is>
          <t>Option C</t>
        </is>
      </c>
      <c r="DJ10" s="3" t="inlineStr">
        <is>
          <t>TR7 — Feasibility, workload &amp; sustainability</t>
        </is>
      </c>
      <c r="DK10" s="3" t="inlineStr">
        <is>
          <t>Rationale: prefer hybrid.</t>
        </is>
      </c>
      <c r="DL10" s="3" t="n"/>
      <c r="DM10" s="3" t="inlineStr">
        <is>
          <t>Option B</t>
        </is>
      </c>
      <c r="DN10" s="3" t="n"/>
      <c r="DO10" s="3" t="n"/>
      <c r="DP10" s="3" t="n"/>
      <c r="DQ10" s="3" t="inlineStr">
        <is>
          <t>Option A</t>
        </is>
      </c>
      <c r="DR10" s="3" t="inlineStr">
        <is>
          <t>TR7 — Feasibility, workload &amp; sustainability; TR2 — Assessment validity &amp; academic integrity</t>
        </is>
      </c>
      <c r="DS10" s="3" t="inlineStr">
        <is>
          <t>Rationale: prefer hybrid.</t>
        </is>
      </c>
      <c r="DT10" s="3" t="n"/>
      <c r="DU10" s="3" t="inlineStr">
        <is>
          <t>F3-12 (P-GGA) evaluate before scaling; F3-15 (P-GGA) notice plus consent where feasible; S11 (P-TPW) Teacher judgment leads; F3-03 (P-TPC) accountable ownership; F3-09 (P-EAI) IEP/504 decisions stay human; F3-23 (P-TPW) educator voice in governance; F3-02 (P-TPC) pilot with monitoring; F3-07 (P-AAI) student disclosure; S04 (P-AAI) No detector-only decisions; S03 (P-AAI) Process evidence; F3-22 (P-TPW) teacher-owned feedback</t>
        </is>
      </c>
      <c r="DV10" s="3" t="inlineStr">
        <is>
          <t>F3-12 (P-GGA) evaluate before scaling; F3-15 (P-GGA) notice plus consent where feasible; S11 (P-TPW) Teacher judgment leads</t>
        </is>
      </c>
    </row>
    <row r="11" ht="87" customHeight="1">
      <c r="A11" s="2" t="n">
        <v>46074.41875</v>
      </c>
      <c r="B11" s="2" t="n">
        <v>46074.42847222222</v>
      </c>
      <c r="C11" s="3" t="inlineStr">
        <is>
          <t>TEST 10</t>
        </is>
      </c>
      <c r="D11" s="3" t="inlineStr">
        <is>
          <t>test10@example.org</t>
        </is>
      </c>
      <c r="E11" s="3" t="inlineStr">
        <is>
          <t>Approve</t>
        </is>
      </c>
      <c r="F11" s="3" t="n"/>
      <c r="G11" s="3" t="inlineStr">
        <is>
          <t>TR1 — Learning impact &amp; deep skills; TR3 — Equity, accessibility &amp; inclusion; TR2 — Assessment validity &amp; academic integrity</t>
        </is>
      </c>
      <c r="H11" s="3" t="n"/>
      <c r="I11" s="3" t="inlineStr">
        <is>
          <t>Approve</t>
        </is>
      </c>
      <c r="J11" s="3" t="n"/>
      <c r="K11" s="3" t="n"/>
      <c r="L11" s="3" t="n"/>
      <c r="M11" s="3" t="inlineStr">
        <is>
          <t>Approve</t>
        </is>
      </c>
      <c r="N11" s="3" t="n"/>
      <c r="O11" s="3" t="n"/>
      <c r="P11" s="3" t="n"/>
      <c r="Q11" s="3" t="inlineStr">
        <is>
          <t>Approve</t>
        </is>
      </c>
      <c r="R11" s="3" t="n"/>
      <c r="S11" s="3" t="inlineStr">
        <is>
          <t>TR7 — Feasibility, workload &amp; sustainability; TR2 — Assessment validity &amp; academic integrity; TR3 — Equity, accessibility &amp; inclusion</t>
        </is>
      </c>
      <c r="T11" s="3" t="n"/>
      <c r="U11" s="3" t="inlineStr">
        <is>
          <t>Approve</t>
        </is>
      </c>
      <c r="V11" s="3" t="n"/>
      <c r="W11" s="3" t="inlineStr">
        <is>
          <t>TR1 — Learning impact &amp; deep skills</t>
        </is>
      </c>
      <c r="X11" s="3" t="n"/>
      <c r="Y11" s="3" t="inlineStr">
        <is>
          <t>Approve</t>
        </is>
      </c>
      <c r="Z11" s="3" t="n"/>
      <c r="AA11" s="3" t="inlineStr">
        <is>
          <t>TR6 — Transparency, accountability &amp; community trust; TR3 — Equity, accessibility &amp; inclusion; TR7 — Feasibility, workload &amp; sustainability</t>
        </is>
      </c>
      <c r="AB11" s="3" t="n"/>
      <c r="AC11" s="3" t="inlineStr">
        <is>
          <t>Approve</t>
        </is>
      </c>
      <c r="AD11" s="3" t="n"/>
      <c r="AE11" s="3" t="inlineStr">
        <is>
          <t>TR4 — Privacy, security &amp; data minimization; TR2 — Assessment validity &amp; academic integrity; TR3 — Equity, accessibility &amp; inclusion</t>
        </is>
      </c>
      <c r="AF11" s="3" t="n"/>
      <c r="AG11" s="3" t="inlineStr">
        <is>
          <t>Do not approve</t>
        </is>
      </c>
      <c r="AH11" s="3" t="inlineStr">
        <is>
          <t>non-AI path.
FCCPS will … (proposed by TEST 10)</t>
        </is>
      </c>
      <c r="AI11" s="3" t="n"/>
      <c r="AJ11" s="3" t="inlineStr">
        <is>
          <t>Concern: clarify scope / add guardrail.</t>
        </is>
      </c>
      <c r="AK11" s="3" t="inlineStr">
        <is>
          <t>Do not approve</t>
        </is>
      </c>
      <c r="AL11" s="3" t="inlineStr">
        <is>
          <t>IEP/504 decisions stay human.
FCCPS will … (proposed by TEST 10)</t>
        </is>
      </c>
      <c r="AM11" s="3" t="inlineStr">
        <is>
          <t>TR8 — Evidence, monitoring &amp; reversibility; TR1 — Learning impact &amp; deep skills</t>
        </is>
      </c>
      <c r="AN11" s="3" t="inlineStr">
        <is>
          <t>Concern: clarify scope / add guardrail.</t>
        </is>
      </c>
      <c r="AO11" s="3" t="inlineStr">
        <is>
          <t>Do not approve</t>
        </is>
      </c>
      <c r="AP11" s="3" t="inlineStr">
        <is>
          <t>access plus supports.
FCCPS will … (proposed by TEST 10)</t>
        </is>
      </c>
      <c r="AQ11" s="3" t="inlineStr">
        <is>
          <t>TR4 — Privacy, security &amp; data minimization</t>
        </is>
      </c>
      <c r="AR11" s="3" t="inlineStr">
        <is>
          <t>Concern: clarify scope / add guardrail.</t>
        </is>
      </c>
      <c r="AS11" s="3" t="inlineStr">
        <is>
          <t>Do not approve</t>
        </is>
      </c>
      <c r="AT11" s="3" t="inlineStr">
        <is>
          <t>UDL augmentation with checks.
FCCPS will … (proposed by TEST 10)</t>
        </is>
      </c>
      <c r="AU11" s="3" t="n"/>
      <c r="AV11" s="3" t="n"/>
      <c r="AW11" s="3" t="inlineStr">
        <is>
          <t>Approve</t>
        </is>
      </c>
      <c r="AX11" s="3" t="n"/>
      <c r="AY11" s="3" t="inlineStr">
        <is>
          <t>TR5 — Student safety &amp; developmental appropriateness; TR7 — Feasibility, workload &amp; sustainability</t>
        </is>
      </c>
      <c r="AZ11" s="3" t="n"/>
      <c r="BA11" s="3" t="inlineStr">
        <is>
          <t>Approve</t>
        </is>
      </c>
      <c r="BB11" s="3" t="n"/>
      <c r="BC11" s="3" t="inlineStr">
        <is>
          <t>TR6 — Transparency, accountability &amp; community trust</t>
        </is>
      </c>
      <c r="BD11" s="3" t="n"/>
      <c r="BE11" s="3" t="inlineStr">
        <is>
          <t>Approve</t>
        </is>
      </c>
      <c r="BF11" s="3" t="n"/>
      <c r="BG11" s="3" t="inlineStr">
        <is>
          <t>TR7 — Feasibility, workload &amp; sustainability; TR1 — Learning impact &amp; deep skills; TR2 — Assessment validity &amp; academic integrity</t>
        </is>
      </c>
      <c r="BH11" s="3" t="n"/>
      <c r="BI11" s="3" t="inlineStr">
        <is>
          <t>Approve</t>
        </is>
      </c>
      <c r="BJ11" s="3" t="n"/>
      <c r="BK11" s="3" t="inlineStr">
        <is>
          <t>TR2 — Assessment validity &amp; academic integrity; TR6 — Transparency, accountability &amp; community trust</t>
        </is>
      </c>
      <c r="BL11" s="3" t="n"/>
      <c r="BM11" s="3" t="inlineStr">
        <is>
          <t>Approve</t>
        </is>
      </c>
      <c r="BN11" s="3" t="n"/>
      <c r="BO11" s="3" t="inlineStr">
        <is>
          <t>TR3 — Equity, accessibility &amp; inclusion; TR6 — Transparency, accountability &amp; community trust</t>
        </is>
      </c>
      <c r="BP11" s="3" t="n"/>
      <c r="BQ11" s="3" t="inlineStr">
        <is>
          <t>Approve</t>
        </is>
      </c>
      <c r="BR11" s="3" t="n"/>
      <c r="BS11" s="3" t="inlineStr">
        <is>
          <t>TR5 — Student safety &amp; developmental appropriateness; TR3 — Equity, accessibility &amp; inclusion</t>
        </is>
      </c>
      <c r="BT11" s="3" t="n"/>
      <c r="BU11" s="3" t="inlineStr">
        <is>
          <t>Do not approve</t>
        </is>
      </c>
      <c r="BV11" s="3" t="inlineStr">
        <is>
          <t>AI literacy.
FCCPS will … (proposed by TEST 10)</t>
        </is>
      </c>
      <c r="BW11" s="3" t="n"/>
      <c r="BX11" s="3" t="inlineStr">
        <is>
          <t>Concern: clarify scope / add guardrail.</t>
        </is>
      </c>
      <c r="BY11" s="3" t="inlineStr">
        <is>
          <t>Approve</t>
        </is>
      </c>
      <c r="BZ11" s="3" t="n"/>
      <c r="CA11" s="3" t="inlineStr">
        <is>
          <t>TR3 — Equity, accessibility &amp; inclusion; TR6 — Transparency, accountability &amp; community trust</t>
        </is>
      </c>
      <c r="CB11" s="3" t="n"/>
      <c r="CC11" s="3" t="inlineStr">
        <is>
          <t>Approve</t>
        </is>
      </c>
      <c r="CD11" s="3" t="n"/>
      <c r="CE11" s="3" t="inlineStr">
        <is>
          <t>TR2 — Assessment validity &amp; academic integrity</t>
        </is>
      </c>
      <c r="CF11" s="3" t="n"/>
      <c r="CG11" s="3" t="inlineStr">
        <is>
          <t>Approve</t>
        </is>
      </c>
      <c r="CH11" s="3" t="n"/>
      <c r="CI11" s="3" t="n"/>
      <c r="CJ11" s="3" t="n"/>
      <c r="CK11" s="3" t="inlineStr">
        <is>
          <t>Approve</t>
        </is>
      </c>
      <c r="CL11" s="3" t="n"/>
      <c r="CM11" s="3" t="n"/>
      <c r="CN11" s="3" t="n"/>
      <c r="CO11" s="3" t="inlineStr">
        <is>
          <t>Approve</t>
        </is>
      </c>
      <c r="CP11" s="3" t="n"/>
      <c r="CQ11" s="3" t="n"/>
      <c r="CR11" s="3" t="n"/>
      <c r="CS11" s="3" t="inlineStr">
        <is>
          <t>Option A</t>
        </is>
      </c>
      <c r="CT11" s="3" t="inlineStr">
        <is>
          <t>TR5 — Student safety &amp; developmental appropriateness; TR4 — Privacy, security &amp; data minimization</t>
        </is>
      </c>
      <c r="CU11" s="3" t="inlineStr">
        <is>
          <t>Rationale: prefer hybrid.</t>
        </is>
      </c>
      <c r="CV11" s="3" t="n"/>
      <c r="CW11" s="3" t="inlineStr">
        <is>
          <t>Option A</t>
        </is>
      </c>
      <c r="CX11" s="3" t="inlineStr">
        <is>
          <t>TR4 — Privacy, security &amp; data minimization; TR2 — Assessment validity &amp; academic integrity</t>
        </is>
      </c>
      <c r="CY11" s="3" t="n"/>
      <c r="CZ11" s="3" t="n"/>
      <c r="DA11" s="3" t="inlineStr">
        <is>
          <t>Option C</t>
        </is>
      </c>
      <c r="DB11" s="3" t="n"/>
      <c r="DC11" s="3" t="n"/>
      <c r="DD11" s="3" t="n"/>
      <c r="DE11" s="3" t="inlineStr">
        <is>
          <t>Option C</t>
        </is>
      </c>
      <c r="DF11" s="3" t="n"/>
      <c r="DG11" s="3" t="inlineStr">
        <is>
          <t>Rationale: prefer hybrid.</t>
        </is>
      </c>
      <c r="DH11" s="3" t="n"/>
      <c r="DI11" s="3" t="inlineStr">
        <is>
          <t>Need more info</t>
        </is>
      </c>
      <c r="DJ11" s="3" t="inlineStr">
        <is>
          <t>TR1 — Learning impact &amp; deep skills; TR4 — Privacy, security &amp; data minimization; TR8 — Evidence, monitoring &amp; reversibility</t>
        </is>
      </c>
      <c r="DK11" s="3" t="n"/>
      <c r="DL11" s="3" t="inlineStr">
        <is>
          <t>Need definition + example.</t>
        </is>
      </c>
      <c r="DM11" s="3" t="inlineStr">
        <is>
          <t>Option C</t>
        </is>
      </c>
      <c r="DN11" s="3" t="inlineStr">
        <is>
          <t>TR6 — Transparency, accountability &amp; community trust; TR8 — Evidence, monitoring &amp; reversibility</t>
        </is>
      </c>
      <c r="DO11" s="3" t="n"/>
      <c r="DP11" s="3" t="n"/>
      <c r="DQ11" s="3" t="inlineStr">
        <is>
          <t>Option A</t>
        </is>
      </c>
      <c r="DR11" s="3" t="inlineStr">
        <is>
          <t>TR3 — Equity, accessibility &amp; inclusion; TR5 — Student safety &amp; developmental appropriateness</t>
        </is>
      </c>
      <c r="DS11" s="3" t="inlineStr">
        <is>
          <t>Rationale: prefer hybrid.</t>
        </is>
      </c>
      <c r="DT11" s="3" t="n"/>
      <c r="DU11" s="3" t="inlineStr">
        <is>
          <t>S08 (P-TPC) Plain-language transparency; F3-16 (P-LSD) prevent cognitive offloading; F3-04 (P-AAI) common use-case language; F3-17 (P-GGA) risk-based restrictions; F3-06 (P-AAI) detectors are advisory; F3-13 (P-GGA) use transparency; S09 (P-GGA) Tiered permissioning</t>
        </is>
      </c>
      <c r="DV11" s="3" t="inlineStr">
        <is>
          <t>S08 (P-TPC) Plain-language transparency; F3-16 (P-LSD) prevent cognitive offloading; F3-04 (P-AAI) common use-case language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2"/>
    <col width="28" customWidth="1" min="3" max="3"/>
    <col width="44" customWidth="1" min="4" max="4"/>
  </cols>
  <sheetData>
    <row r="1" ht="29" customHeight="1">
      <c r="A1" s="1" t="inlineStr">
        <is>
          <t>CandidateID</t>
        </is>
      </c>
      <c r="B1" s="1" t="inlineStr">
        <is>
          <t>Domain</t>
        </is>
      </c>
      <c r="C1" s="1" t="inlineStr">
        <is>
          <t>ShortName</t>
        </is>
      </c>
      <c r="D1" s="1" t="inlineStr">
        <is>
          <t>MergeTarget</t>
        </is>
      </c>
    </row>
    <row r="2">
      <c r="A2" s="3" t="inlineStr">
        <is>
          <t>F3-01</t>
        </is>
      </c>
      <c r="B2" s="3" t="inlineStr">
        <is>
          <t>P-TPC</t>
        </is>
      </c>
      <c r="C2" s="3" t="inlineStr">
        <is>
          <t>feedback channels</t>
        </is>
      </c>
      <c r="D2" s="3" t="inlineStr">
        <is>
          <t>Plain-language transparency (P-TPC)</t>
        </is>
      </c>
    </row>
    <row r="3" ht="29" customHeight="1">
      <c r="A3" s="3" t="inlineStr">
        <is>
          <t>F3-02</t>
        </is>
      </c>
      <c r="B3" s="3" t="inlineStr">
        <is>
          <t>P-TPC</t>
        </is>
      </c>
      <c r="C3" s="3" t="inlineStr">
        <is>
          <t>pilot with monitoring</t>
        </is>
      </c>
      <c r="D3" s="3" t="inlineStr">
        <is>
          <t>Evidence-driven updates (P-GGA) / Tiered permissioning (P-GGA)</t>
        </is>
      </c>
    </row>
    <row r="4">
      <c r="A4" s="3" t="inlineStr">
        <is>
          <t>F3-03</t>
        </is>
      </c>
      <c r="B4" s="3" t="inlineStr">
        <is>
          <t>P-TPC</t>
        </is>
      </c>
      <c r="C4" s="3" t="inlineStr">
        <is>
          <t>accountable ownership</t>
        </is>
      </c>
      <c r="D4" s="3" t="inlineStr">
        <is>
          <t>Data minimization (P-TPC)</t>
        </is>
      </c>
    </row>
    <row r="5" ht="29" customHeight="1">
      <c r="A5" s="3" t="inlineStr">
        <is>
          <t>F3-04</t>
        </is>
      </c>
      <c r="B5" s="3" t="inlineStr">
        <is>
          <t>P-AAI</t>
        </is>
      </c>
      <c r="C5" s="3" t="inlineStr">
        <is>
          <t>common use-case language</t>
        </is>
      </c>
      <c r="D5" s="3" t="inlineStr">
        <is>
          <t>Tiered permissioning (P-GGA) + Plain-language transparency (P-TPC)</t>
        </is>
      </c>
    </row>
    <row r="6">
      <c r="A6" s="3" t="inlineStr">
        <is>
          <t>F3-05</t>
        </is>
      </c>
      <c r="B6" s="3" t="inlineStr">
        <is>
          <t>P-AAI</t>
        </is>
      </c>
      <c r="C6" s="3" t="inlineStr">
        <is>
          <t>design before bans</t>
        </is>
      </c>
      <c r="D6" s="3" t="inlineStr">
        <is>
          <t>Process evidence (P-AAI)</t>
        </is>
      </c>
    </row>
    <row r="7">
      <c r="A7" s="3" t="inlineStr">
        <is>
          <t>F3-06</t>
        </is>
      </c>
      <c r="B7" s="3" t="inlineStr">
        <is>
          <t>P-AAI</t>
        </is>
      </c>
      <c r="C7" s="3" t="inlineStr">
        <is>
          <t>detectors are advisory</t>
        </is>
      </c>
      <c r="D7" s="3" t="inlineStr">
        <is>
          <t>No detector-only decisions (P-AAI)</t>
        </is>
      </c>
    </row>
    <row r="8">
      <c r="A8" s="3" t="inlineStr">
        <is>
          <t>F3-07</t>
        </is>
      </c>
      <c r="B8" s="3" t="inlineStr">
        <is>
          <t>P-AAI</t>
        </is>
      </c>
      <c r="C8" s="3" t="inlineStr">
        <is>
          <t>student disclosure</t>
        </is>
      </c>
      <c r="D8" s="3" t="inlineStr">
        <is>
          <t>Process evidence (P-AAI) / transparency</t>
        </is>
      </c>
    </row>
    <row r="9">
      <c r="A9" s="3" t="inlineStr">
        <is>
          <t>F3-08</t>
        </is>
      </c>
      <c r="B9" s="3" t="inlineStr">
        <is>
          <t>P-EAI</t>
        </is>
      </c>
      <c r="C9" s="3" t="inlineStr">
        <is>
          <t>non-AI path</t>
        </is>
      </c>
      <c r="D9" s="3" t="inlineStr">
        <is>
          <t>Equity by design (P-EAI)</t>
        </is>
      </c>
    </row>
    <row r="10">
      <c r="A10" s="3" t="inlineStr">
        <is>
          <t>F3-09</t>
        </is>
      </c>
      <c r="B10" s="3" t="inlineStr">
        <is>
          <t>P-EAI</t>
        </is>
      </c>
      <c r="C10" s="3" t="inlineStr">
        <is>
          <t>IEP/504 decisions stay human</t>
        </is>
      </c>
      <c r="D10" s="3" t="inlineStr">
        <is>
          <t>Human review for high-stakes (P-EAI)</t>
        </is>
      </c>
    </row>
    <row r="11">
      <c r="A11" s="3" t="inlineStr">
        <is>
          <t>F3-10</t>
        </is>
      </c>
      <c r="B11" s="3" t="inlineStr">
        <is>
          <t>P-EAI</t>
        </is>
      </c>
      <c r="C11" s="3" t="inlineStr">
        <is>
          <t>access plus supports</t>
        </is>
      </c>
      <c r="D11" s="3" t="inlineStr">
        <is>
          <t>Equity by design (P-EAI)</t>
        </is>
      </c>
    </row>
    <row r="12">
      <c r="A12" s="3" t="inlineStr">
        <is>
          <t>F3-11</t>
        </is>
      </c>
      <c r="B12" s="3" t="inlineStr">
        <is>
          <t>P-EAI</t>
        </is>
      </c>
      <c r="C12" s="3" t="inlineStr">
        <is>
          <t>UDL augmentation with checks</t>
        </is>
      </c>
      <c r="D12" s="3" t="inlineStr">
        <is>
          <t>Equity by design (P-EAI)</t>
        </is>
      </c>
    </row>
    <row r="13">
      <c r="A13" s="3" t="inlineStr">
        <is>
          <t>F3-12</t>
        </is>
      </c>
      <c r="B13" s="3" t="inlineStr">
        <is>
          <t>P-GGA</t>
        </is>
      </c>
      <c r="C13" s="3" t="inlineStr">
        <is>
          <t>evaluate before scaling</t>
        </is>
      </c>
      <c r="D13" s="3" t="inlineStr">
        <is>
          <t>Evidence-driven updates (P-GGA)</t>
        </is>
      </c>
    </row>
    <row r="14" ht="29" customHeight="1">
      <c r="A14" s="3" t="inlineStr">
        <is>
          <t>F3-13</t>
        </is>
      </c>
      <c r="B14" s="3" t="inlineStr">
        <is>
          <t>P-GGA</t>
        </is>
      </c>
      <c r="C14" s="3" t="inlineStr">
        <is>
          <t>use transparency</t>
        </is>
      </c>
      <c r="D14" s="3" t="inlineStr">
        <is>
          <t>Student disclosure (P-AAI) + Teacher judgment leads (P-TPW)</t>
        </is>
      </c>
    </row>
    <row r="15">
      <c r="A15" s="3" t="inlineStr">
        <is>
          <t>F3-14</t>
        </is>
      </c>
      <c r="B15" s="3" t="inlineStr">
        <is>
          <t>P-GGA</t>
        </is>
      </c>
      <c r="C15" s="3" t="inlineStr">
        <is>
          <t>pilot plus off-ramps</t>
        </is>
      </c>
      <c r="D15" s="3" t="inlineStr">
        <is>
          <t>Evidence-driven updates (P-GGA)</t>
        </is>
      </c>
    </row>
    <row r="16" ht="29" customHeight="1">
      <c r="A16" s="3" t="inlineStr">
        <is>
          <t>F3-15</t>
        </is>
      </c>
      <c r="B16" s="3" t="inlineStr">
        <is>
          <t>P-GGA</t>
        </is>
      </c>
      <c r="C16" s="3" t="inlineStr">
        <is>
          <t>notice plus consent where feasible</t>
        </is>
      </c>
      <c r="D16" s="3" t="inlineStr">
        <is>
          <t>Plain-language transparency (P-TPC) + Tiered permissioning (P-GGA)</t>
        </is>
      </c>
    </row>
    <row r="17">
      <c r="A17" s="3" t="inlineStr">
        <is>
          <t>F3-16</t>
        </is>
      </c>
      <c r="B17" s="3" t="inlineStr">
        <is>
          <t>P-LSD</t>
        </is>
      </c>
      <c r="C17" s="3" t="inlineStr">
        <is>
          <t>prevent cognitive offloading</t>
        </is>
      </c>
      <c r="D17" s="3" t="inlineStr">
        <is>
          <t>Deep skills first (P-LSD)</t>
        </is>
      </c>
    </row>
    <row r="18">
      <c r="A18" s="3" t="inlineStr">
        <is>
          <t>F3-17</t>
        </is>
      </c>
      <c r="B18" s="3" t="inlineStr">
        <is>
          <t>P-GGA</t>
        </is>
      </c>
      <c r="C18" s="3" t="inlineStr">
        <is>
          <t>risk-based restrictions</t>
        </is>
      </c>
      <c r="D18" s="3" t="inlineStr">
        <is>
          <t>Tiered permissioning (P-GGA)</t>
        </is>
      </c>
    </row>
    <row r="19">
      <c r="A19" s="3" t="inlineStr">
        <is>
          <t>F3-18</t>
        </is>
      </c>
      <c r="B19" s="3" t="inlineStr">
        <is>
          <t>P-LSD</t>
        </is>
      </c>
      <c r="C19" s="3" t="inlineStr">
        <is>
          <t>AI literacy</t>
        </is>
      </c>
      <c r="D19" s="3" t="inlineStr">
        <is>
          <t>(Potential standalone pillar)</t>
        </is>
      </c>
    </row>
    <row r="20">
      <c r="A20" s="3" t="inlineStr">
        <is>
          <t>F3-19</t>
        </is>
      </c>
      <c r="B20" s="3" t="inlineStr">
        <is>
          <t>P-GGA</t>
        </is>
      </c>
      <c r="C20" s="3" t="inlineStr">
        <is>
          <t>learning-evidence threshold</t>
        </is>
      </c>
      <c r="D20" s="3" t="inlineStr">
        <is>
          <t>Evidence-driven updates (P-GGA)</t>
        </is>
      </c>
    </row>
    <row r="21">
      <c r="A21" s="3" t="inlineStr">
        <is>
          <t>F3-20</t>
        </is>
      </c>
      <c r="B21" s="3" t="inlineStr">
        <is>
          <t>P-LSD</t>
        </is>
      </c>
      <c r="C21" s="3" t="inlineStr">
        <is>
          <t>human-centered learning</t>
        </is>
      </c>
      <c r="D21" s="3" t="inlineStr">
        <is>
          <t>(Optional merge into Deep skills first)</t>
        </is>
      </c>
    </row>
    <row r="22">
      <c r="A22" s="3" t="inlineStr">
        <is>
          <t>F3-21</t>
        </is>
      </c>
      <c r="B22" s="3" t="inlineStr">
        <is>
          <t>P-LSD</t>
        </is>
      </c>
      <c r="C22" s="3" t="inlineStr">
        <is>
          <t>visible thinking</t>
        </is>
      </c>
      <c r="D22" s="3" t="inlineStr">
        <is>
          <t>Deep skills first (P-LSD)</t>
        </is>
      </c>
    </row>
    <row r="23">
      <c r="A23" s="3" t="inlineStr">
        <is>
          <t>F3-22</t>
        </is>
      </c>
      <c r="B23" s="3" t="inlineStr">
        <is>
          <t>P-TPW</t>
        </is>
      </c>
      <c r="C23" s="3" t="inlineStr">
        <is>
          <t>teacher-owned feedback</t>
        </is>
      </c>
      <c r="D23" s="3" t="inlineStr">
        <is>
          <t>Teacher judgment leads (P-TPW)</t>
        </is>
      </c>
    </row>
    <row r="24">
      <c r="A24" s="3" t="inlineStr">
        <is>
          <t>F3-23</t>
        </is>
      </c>
      <c r="B24" s="3" t="inlineStr">
        <is>
          <t>P-TPW</t>
        </is>
      </c>
      <c r="C24" s="3" t="inlineStr">
        <is>
          <t>educator voice in governance</t>
        </is>
      </c>
      <c r="D24" s="3" t="inlineStr">
        <is>
          <t>Evidence-driven updates (P-GGA)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min="1" max="1"/>
    <col width="46" customWidth="1" min="2" max="2"/>
  </cols>
  <sheetData>
    <row r="1">
      <c r="A1" s="1" t="inlineStr">
        <is>
          <t>TR</t>
        </is>
      </c>
      <c r="B1" s="1" t="inlineStr">
        <is>
          <t>LensName</t>
        </is>
      </c>
    </row>
    <row r="2">
      <c r="A2" s="3" t="inlineStr">
        <is>
          <t>TR1</t>
        </is>
      </c>
      <c r="B2" s="3" t="inlineStr">
        <is>
          <t>Learning impact &amp; deep skills</t>
        </is>
      </c>
    </row>
    <row r="3">
      <c r="A3" s="3" t="inlineStr">
        <is>
          <t>TR2</t>
        </is>
      </c>
      <c r="B3" s="3" t="inlineStr">
        <is>
          <t>Assessment validity &amp; academic integrity</t>
        </is>
      </c>
    </row>
    <row r="4">
      <c r="A4" s="3" t="inlineStr">
        <is>
          <t>TR3</t>
        </is>
      </c>
      <c r="B4" s="3" t="inlineStr">
        <is>
          <t>Equity, accessibility &amp; inclusion</t>
        </is>
      </c>
    </row>
    <row r="5">
      <c r="A5" s="3" t="inlineStr">
        <is>
          <t>TR4</t>
        </is>
      </c>
      <c r="B5" s="3" t="inlineStr">
        <is>
          <t>Privacy, security &amp; data minimization</t>
        </is>
      </c>
    </row>
    <row r="6">
      <c r="A6" s="3" t="inlineStr">
        <is>
          <t>TR5</t>
        </is>
      </c>
      <c r="B6" s="3" t="inlineStr">
        <is>
          <t>Student safety &amp; developmental appropriateness</t>
        </is>
      </c>
    </row>
    <row r="7">
      <c r="A7" s="3" t="inlineStr">
        <is>
          <t>TR6</t>
        </is>
      </c>
      <c r="B7" s="3" t="inlineStr">
        <is>
          <t>Transparency, accountability &amp; community trust</t>
        </is>
      </c>
    </row>
    <row r="8">
      <c r="A8" s="3" t="inlineStr">
        <is>
          <t>TR7</t>
        </is>
      </c>
      <c r="B8" s="3" t="inlineStr">
        <is>
          <t>Feasibility, workload &amp; sustainability</t>
        </is>
      </c>
    </row>
    <row r="9">
      <c r="A9" s="3" t="inlineStr">
        <is>
          <t>TR8</t>
        </is>
      </c>
      <c r="B9" s="3" t="inlineStr">
        <is>
          <t>Evidence, monitoring &amp; reversibility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40" customWidth="1" min="1" max="1"/>
  </cols>
  <sheetData>
    <row r="1" ht="15.5" customHeight="1">
      <c r="A1" s="4" t="inlineStr">
        <is>
          <t>Power Query scripts (copy/paste into Data &gt; Get Data &gt; Blank Query &gt; Advanced Editor)</t>
        </is>
      </c>
    </row>
    <row r="2"/>
    <row r="3">
      <c r="A3" s="5" t="inlineStr">
        <is>
          <t>Norm_F3</t>
        </is>
      </c>
    </row>
    <row r="4" ht="220" customHeight="1">
      <c r="A4" s="3" t="inlineStr">
        <is>
          <t>let
    // ---- SOURCE ----
    Source = Excel.CurrentWorkbook(){[Name="tblResponses"]}[Content],
    // Add a stable response id
    AddResponseID = Table.AddIndexColumn(Source, "ResponseID", 1, 1, Int64.Type),
    // Ensure Name column exists (if not, create blank)
    EnsureName =
        if List.Contains(Table.ColumnNames(AddResponseID), "Name")
        then AddResponseID
        else Table.AddColumn(AddResponseID, "Name", each null, type text),
    ColNames = Table.ColumnNames(EnsureName),
    F3Cols = List.Select(ColNames, each Text.StartsWith(_, "F3-")),
    KeepCols = List.Combine({{"ResponseID","Name"}, F3Cols}),
    SelectF3 = Table.SelectColumns(EnsureName, KeepCols, MissingField.UseNull),
    // Unpivot F3 columns
    Unpivoted = Table.UnpivotOtherColumns(SelectF3, {"ResponseID","Name"}, "Attribute", "Value"),
    // CandidateID is always first 5 chars like F3-01
    AddCandidateID = Table.AddColumn(Unpivoted, "CandidateID", each Text.Start([Attribute], 5), type text),
    // Classify field type based on attribute name
    AddFieldType = Table.AddColumn(
        AddCandidateID,
        "FieldType",
        each
            if Text.Contains([Attribute], " approval") then "Approval"
            else if Text.Contains([Attribute], " proposed revision") then "ProposedRevision"
            else if Text.Contains([Attribute], " TR codes") then "TR"
            else if Text.Contains([Attribute], " comment") then "Comment"
            else "Other",
        type text
    ),
    FilterKnown = Table.SelectRows(AddFieldType, each [FieldType] &lt;&gt; "Other"),
    // Pivot FieldType into columns
    Pivoted = Table.Pivot(
        FilterKnown,
        List.Distinct(FilterKnown[FieldType]),
        "FieldType",
        "Value",
        each List.First(_)
    ),
    // Ensure expected columns exist
    EnsureApproval =
        if List.Contains(Table.ColumnNames(Pivoted), "Approval")
        then Pivoted
        else Table.AddColumn(Pivoted, "Approval", each null, type text),
    EnsureRevision =
        if List.Contains(Table.ColumnNames(EnsureApproval), "ProposedRevision")
        then EnsureApproval
        else Table.AddColumn(EnsureApproval, "ProposedRevision", each null, type text),
    EnsureTR =
        if List.Contains(Table.ColumnNames(EnsureRevision), "TR")
        then EnsureRevision
        else Table.AddColumn(EnsureRevision, "TR", each null, type text),
    EnsureComment =
        if List.Contains(Table.ColumnNames(EnsureTR), "Comment")
        then EnsureTR
        else Table.AddColumn(EnsureTR, "Comment", each null, type text),
    // Split TR codes into rows (semicolon-separated in Forms export)
    AddTRList = Table.AddColumn(
        EnsureComment,
        "TR_List",
        each
            let
                raw = if [TR] = null then "" else Text.Trim(Text.From([TR])),
                list =
                    if raw = ""
                    then { null }
                    else List.Transform(Text.Split(raw, ";"), each Text.Trim(_))
            in
                list,
        type list
    ),
    ExpandTR = Table.ExpandListColumn(AddTRList, "TR_List"),
    RenameTR = Table.RenameColumns(ExpandTR, {{"TR_List", "TR"}}),
    // HasComment flag
    AddHasComment = Table.AddColumn(
        RenameTR,
        "HasComment",
        each if [Comment] &lt;&gt; null and Text.Trim(Text.From([Comment])) &lt;&gt; "" then 1 else 0,
        Int64.Type
    )
in
    AddHasComment</t>
        </is>
      </c>
    </row>
    <row r="5"/>
    <row r="6">
      <c r="A6" s="5" t="inlineStr">
        <is>
          <t>Norm_T</t>
        </is>
      </c>
    </row>
    <row r="7" ht="220" customHeight="1">
      <c r="A7" s="3" t="inlineStr">
        <is>
          <t>let
    // ---- SOURCE ----
    Source = Excel.CurrentWorkbook(){[Name="tblResponses"]}[Content],
    AddResponseID = Table.AddIndexColumn(Source, "ResponseID", 1, 1, Int64.Type),
    EnsureName =
        if List.Contains(Table.ColumnNames(AddResponseID), "Name")
        then AddResponseID
        else Table.AddColumn(AddResponseID, "Name", each null, type text),
    ColNames = Table.ColumnNames(EnsureName),
    TCols = List.Select(
        ColNames,
        each
            Text.StartsWith(_, "T")
            and (
                Text.Contains(_, "preferred policy posture")
                or Text.Contains(_, "TR codes")
                or Text.Contains(_, "comment")
                or Text.Contains(_, "What information would change your view")
            )
    ),
    KeepCols = List.Combine({{"ResponseID","Name"}, TCols}),
    SelectT = Table.SelectColumns(EnsureName, KeepCols, MissingField.UseNull),
    Unpivoted = Table.UnpivotOtherColumns(SelectT, {"ResponseID","Name"}, "Attribute", "Value"),
    AddTradeoffID = Table.AddColumn(
        Unpivoted,
        "TradeoffID",
        each try Text.BeforeDelimiter([Attribute], " ") otherwise null,
        type text
    ),
    AddFieldType = Table.AddColumn(
        AddTradeoffID,
        "FieldType",
        each
            if Text.Contains([Attribute], "preferred policy posture") then "Option"
            else if Text.Contains([Attribute], "TR codes") then "TR"
            else if Text.Contains([Attribute], "comment") then "Comment"
            else if Text.Contains([Attribute], "What information would change your view") then "InfoNeeded"
            else "Other",
        type text
    ),
    FilterKnown = Table.SelectRows(AddFieldType, each [FieldType] &lt;&gt; "Other"),
    Pivoted = Table.Pivot(
        FilterKnown,
        List.Distinct(FilterKnown[FieldType]),
        "FieldType",
        "Value",
        each List.First(_)
    ),
    EnsureTR =
        if List.Contains(Table.ColumnNames(Pivoted), "TR")
        then Pivoted
        else Table.AddColumn(Pivoted, "TR", each null, type text),
    EnsureComment =
        if List.Contains(Table.ColumnNames(EnsureTR), "Comment")
        then EnsureTR
        else Table.AddColumn(EnsureTR, "Comment", each null, type text),
    EnsureInfo =
        if List.Contains(Table.ColumnNames(EnsureComment), "InfoNeeded")
        then EnsureComment
        else Table.AddColumn(EnsureComment, "InfoNeeded", each null, type text),
    AddTRList = Table.AddColumn(
        EnsureInfo,
        "TR_List",
        each
            let
                raw = if [TR] = null then "" else Text.Trim(Text.From([TR])),
                list =
                    if raw = ""
                    then { null }
                    else List.Transform(Text.Split(raw, ";"), each Text.Trim(_))
            in
                list,
        type list
    ),
    ExpandTR = Table.ExpandListColumn(AddTRList, "TR_List"),
    RenameTR = Table.RenameColumns(ExpandTR, {{"TR_List", "TR"}})
in
    RenameTR</t>
        </is>
      </c>
    </row>
    <row r="8"/>
    <row r="9">
      <c r="A9" s="5" t="inlineStr">
        <is>
          <t>Norm_F3_Approval</t>
        </is>
      </c>
    </row>
    <row r="10" ht="220" customHeight="1">
      <c r="A10" s="3" t="inlineStr">
        <is>
          <t>let
    // ---- SOURCE ----
    Source = Excel.CurrentWorkbook(){[Name="tblResponses"]}[Content],
    AddResponseID = Table.AddIndexColumn(Source, "ResponseID", 1, 1, Int64.Type),
    EnsureName =
        if List.Contains(Table.ColumnNames(AddResponseID), "Name")
        then AddResponseID
        else Table.AddColumn(AddResponseID, "Name", each null, type text),
    ColNames = Table.ColumnNames(EnsureName),
    F3Cols = List.Select(ColNames, each Text.StartsWith(_, "F3-")),
    KeepCols = List.Combine({{"ResponseID","Name"}, F3Cols}),
    SelectF3 = Table.SelectColumns(EnsureName, KeepCols, MissingField.UseNull),
    Unpivoted = Table.UnpivotOtherColumns(SelectF3, {"ResponseID","Name"}, "Attribute", "Value"),
    AddCandidateID = Table.AddColumn(Unpivoted, "CandidateID", each Text.Start([Attribute], 5), type text),
    AddFieldType = Table.AddColumn(
        AddCandidateID,
        "FieldType",
        each
            if Text.Contains([Attribute], " approval") then "Approval"
            else if Text.Contains([Attribute], " proposed revision") then "ProposedRevision"
            else if Text.Contains([Attribute], " comment") then "Comment"
            else "Other",
        type text
    ),
    FilterKnown = Table.SelectRows(AddFieldType, each [FieldType] &lt;&gt; "Other"),
    Pivoted = Table.Pivot(
        FilterKnown,
        List.Distinct(FilterKnown[FieldType]),
        "FieldType",
        "Value",
        each List.First(_)
    )
in
    Pivoted</t>
        </is>
      </c>
    </row>
    <row r="11"/>
    <row r="12">
      <c r="A12" s="5" t="inlineStr">
        <is>
          <t>Join (F3 approval + Map_F3)</t>
        </is>
      </c>
    </row>
    <row r="13" ht="220" customHeight="1">
      <c r="A13" s="3" t="inlineStr">
        <is>
          <t>let
    Approval = Norm_F3_Approval,
    MapF3 = Excel.CurrentWorkbook(){[Name="tblMap_F3"]}[Content],
    ApprovalKey = Table.TransformColumns(
        Approval,
        {{"CandidateID", each if _ = null then null else Text.Trim(Text.From(_)), type text}}
    ),
    MapKey = Table.TransformColumns(
        MapF3,
        {{"CandidateID", each if _ = null then null else Text.Trim(Text.From(_)), type text}}
    ),
    MapSlim = Table.SelectColumns(MapKey, {"CandidateID","Domain","ShortName","MergeTarget"}, MissingField.UseNull),
    Joined = Table.NestedJoin(
        ApprovalKey,
        {"CandidateID"},
        MapSlim,
        {"CandidateID"},
        "Map",
        JoinKind.LeftOuter
    ),
    Expanded = Table.ExpandTableColumn(
        Joined,
        "Map",
        {"Domain","ShortName","MergeTarget"},
        {"Domain","ShortName","MergeTarget"}
    ),
    AddLabel = Table.AddColumn(
        Expanded,
        "CandidateLabel",
        each if [Domain] = null then [CandidateID] else [Domain] &amp; " — " &amp; (if [ShortName]=null then [CandidateID] else [ShortName]),
        type text
    )
in
    AddLabel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tabSelected="1" workbookViewId="0">
      <pane ySplit="4" topLeftCell="A5" activePane="bottomLeft" state="frozen"/>
      <selection pane="bottomLeft" activeCell="I12" sqref="I12"/>
    </sheetView>
  </sheetViews>
  <sheetFormatPr baseColWidth="8" defaultRowHeight="14.5"/>
  <cols>
    <col width="10" customWidth="1" min="1" max="1"/>
    <col width="38" customWidth="1" min="2" max="2"/>
    <col width="24" customWidth="1" min="3" max="3"/>
    <col width="38" customWidth="1" min="4" max="4"/>
    <col width="10" customWidth="1" min="5" max="5"/>
    <col width="14" customWidth="1" min="6" max="6"/>
    <col width="8" customWidth="1" min="7" max="7"/>
    <col width="11" customWidth="1" min="8" max="8"/>
    <col width="7.08984375" customWidth="1" min="9" max="9"/>
    <col width="9" customWidth="1" min="10" max="10"/>
    <col width="13" customWidth="1" min="11" max="11"/>
    <col width="12" customWidth="1" min="12" max="12"/>
    <col width="8" customWidth="1" min="13" max="13"/>
    <col width="11" customWidth="1" min="14" max="14"/>
    <col width="12" customWidth="1" min="15" max="15"/>
    <col width="6" customWidth="1" min="16" max="23"/>
  </cols>
  <sheetData>
    <row r="1" ht="17" customHeight="1">
      <c r="A1" s="6" t="inlineStr">
        <is>
          <t>Dashboard (uses formulas directly on tblResponses — no Power Query required)</t>
        </is>
      </c>
    </row>
    <row r="2" ht="174" customHeight="1">
      <c r="A2" s="7" t="inlineStr">
        <is>
          <t>Paste real Microsoft Forms export rows into the tblResponses table on Responses_Raw (keep headers).</t>
        </is>
      </c>
    </row>
    <row r="3"/>
    <row r="4" ht="29" customHeight="1">
      <c r="A4" s="1" t="inlineStr">
        <is>
          <t>CandidateID</t>
        </is>
      </c>
      <c r="B4" s="1" t="inlineStr">
        <is>
          <t>Domain</t>
        </is>
      </c>
      <c r="C4" s="1" t="inlineStr">
        <is>
          <t>ShortName</t>
        </is>
      </c>
      <c r="D4" s="1" t="inlineStr">
        <is>
          <t>MergeTarget</t>
        </is>
      </c>
      <c r="E4" s="1" t="inlineStr">
        <is>
          <t>Approve</t>
        </is>
      </c>
      <c r="F4" s="1" t="inlineStr">
        <is>
          <t>Do not approve</t>
        </is>
      </c>
      <c r="G4" s="1" t="inlineStr">
        <is>
          <t>Total</t>
        </is>
      </c>
      <c r="H4" s="1" t="inlineStr">
        <is>
          <t>Approve rate</t>
        </is>
      </c>
      <c r="I4" s="1" t="inlineStr">
        <is>
          <t>RAG</t>
        </is>
      </c>
      <c r="J4" s="1" t="inlineStr">
        <is>
          <t>Comments</t>
        </is>
      </c>
      <c r="K4" s="1" t="inlineStr">
        <is>
          <t>Comment factor</t>
        </is>
      </c>
      <c r="L4" s="1" t="inlineStr">
        <is>
          <t>TR selections</t>
        </is>
      </c>
      <c r="M4" s="1" t="inlineStr">
        <is>
          <t>Top TR</t>
        </is>
      </c>
      <c r="N4" s="1" t="inlineStr">
        <is>
          <t>Top TR share</t>
        </is>
      </c>
      <c r="O4" s="1" t="inlineStr">
        <is>
          <t>Priority index</t>
        </is>
      </c>
      <c r="P4" s="1" t="inlineStr">
        <is>
          <t>TR1</t>
        </is>
      </c>
      <c r="Q4" s="1" t="inlineStr">
        <is>
          <t>TR2</t>
        </is>
      </c>
      <c r="R4" s="1" t="inlineStr">
        <is>
          <t>TR3</t>
        </is>
      </c>
      <c r="S4" s="1" t="inlineStr">
        <is>
          <t>TR4</t>
        </is>
      </c>
      <c r="T4" s="1" t="inlineStr">
        <is>
          <t>TR5</t>
        </is>
      </c>
      <c r="U4" s="1" t="inlineStr">
        <is>
          <t>TR6</t>
        </is>
      </c>
      <c r="V4" s="1" t="inlineStr">
        <is>
          <t>TR7</t>
        </is>
      </c>
      <c r="W4" s="1" t="inlineStr">
        <is>
          <t>TR8</t>
        </is>
      </c>
    </row>
    <row r="5">
      <c r="A5" s="3" t="inlineStr">
        <is>
          <t>F3-01</t>
        </is>
      </c>
      <c r="B5" s="3" t="inlineStr">
        <is>
          <t>P-TPC</t>
        </is>
      </c>
      <c r="C5" s="3" t="inlineStr">
        <is>
          <t>feedback channels</t>
        </is>
      </c>
      <c r="D5" s="3" t="inlineStr">
        <is>
          <t>Plain-language transparency (P-TPC)</t>
        </is>
      </c>
      <c r="E5" s="3">
        <f>COUNTIF(tblResponses[F3-01 approval — feedback channels],"Approve")</f>
        <v/>
      </c>
      <c r="F5" s="3">
        <f>COUNTIF(tblResponses[F3-01 approval — feedback channels],"Do not approve")</f>
        <v/>
      </c>
      <c r="G5" s="3">
        <f>COUNTIF(tblResponses[F3-01 approval — feedback channels],"&lt;&gt;")</f>
        <v/>
      </c>
      <c r="H5" s="3">
        <f>IF(G5=0,0,E5/G5)</f>
        <v/>
      </c>
      <c r="I5" s="3">
        <f>IF(H5&gt;=0.8,"Green",IF(H5&gt;=0.6,"Yellow","Red"))</f>
        <v/>
      </c>
      <c r="J5" s="3">
        <f>COUNTIF(tblResponses[F3-01 comment (optional) — feedback channels],"&lt;&gt;")</f>
        <v/>
      </c>
      <c r="K5" s="3">
        <f>IF(J5&gt;=10,0.2,IF(J5&gt;=5,0.1,0))</f>
        <v/>
      </c>
      <c r="L5" s="3">
        <f>SUM(P5:W5)</f>
        <v/>
      </c>
      <c r="M5" s="3">
        <f>INDEX($P$4:$W$4,MATCH(MAX(P5:W5),P5:W5,0))</f>
        <v/>
      </c>
      <c r="N5" s="3">
        <f>IF(L5=0,0,MAX(P5:W5)/L5)</f>
        <v/>
      </c>
      <c r="O5" s="3">
        <f>IF(G5=0,0,(F5/G5)*2 + N5 + K5)</f>
        <v/>
      </c>
      <c r="P5" s="3">
        <f>COUNTIF(tblResponses[F3-01 TR codes (select up to 3) — feedback channels],"*TR1*")</f>
        <v/>
      </c>
      <c r="Q5" s="3">
        <f>COUNTIF(tblResponses[F3-01 TR codes (select up to 3) — feedback channels],"*TR2*")</f>
        <v/>
      </c>
      <c r="R5" s="3">
        <f>COUNTIF(tblResponses[F3-01 TR codes (select up to 3) — feedback channels],"*TR3*")</f>
        <v/>
      </c>
      <c r="S5" s="3">
        <f>COUNTIF(tblResponses[F3-01 TR codes (select up to 3) — feedback channels],"*TR4*")</f>
        <v/>
      </c>
      <c r="T5" s="3">
        <f>COUNTIF(tblResponses[F3-01 TR codes (select up to 3) — feedback channels],"*TR5*")</f>
        <v/>
      </c>
      <c r="U5" s="3">
        <f>COUNTIF(tblResponses[F3-01 TR codes (select up to 3) — feedback channels],"*TR6*")</f>
        <v/>
      </c>
      <c r="V5" s="3">
        <f>COUNTIF(tblResponses[F3-01 TR codes (select up to 3) — feedback channels],"*TR7*")</f>
        <v/>
      </c>
      <c r="W5" s="3">
        <f>COUNTIF(tblResponses[F3-01 TR codes (select up to 3) — feedback channels],"*TR8*")</f>
        <v/>
      </c>
    </row>
    <row r="6" ht="29" customHeight="1">
      <c r="A6" s="3" t="inlineStr">
        <is>
          <t>F3-02</t>
        </is>
      </c>
      <c r="B6" s="3" t="inlineStr">
        <is>
          <t>P-TPC</t>
        </is>
      </c>
      <c r="C6" s="3" t="inlineStr">
        <is>
          <t>pilot with monitoring</t>
        </is>
      </c>
      <c r="D6" s="3" t="inlineStr">
        <is>
          <t>Evidence-driven updates (P-GGA) / Tiered permissioning (P-GGA)</t>
        </is>
      </c>
      <c r="E6" s="3">
        <f>COUNTIF(tblResponses[F3-02 approval — pilot with monitoring],"Approve")</f>
        <v/>
      </c>
      <c r="F6" s="3">
        <f>COUNTIF(tblResponses[F3-02 approval — pilot with monitoring],"Do not approve")</f>
        <v/>
      </c>
      <c r="G6" s="3">
        <f>COUNTIF(tblResponses[F3-02 approval — pilot with monitoring],"&lt;&gt;")</f>
        <v/>
      </c>
      <c r="H6" s="3">
        <f>IF(G6=0,0,E6/G6)</f>
        <v/>
      </c>
      <c r="I6" s="3">
        <f>IF(H6&gt;=0.8,"Green",IF(H6&gt;=0.6,"Yellow","Red"))</f>
        <v/>
      </c>
      <c r="J6" s="3">
        <f>COUNTIF(tblResponses[F3-02 comment (optional) — pilot with monitoring],"&lt;&gt;")</f>
        <v/>
      </c>
      <c r="K6" s="3">
        <f>IF(J6&gt;=10,0.2,IF(J6&gt;=5,0.1,0))</f>
        <v/>
      </c>
      <c r="L6" s="3">
        <f>SUM(P6:W6)</f>
        <v/>
      </c>
      <c r="M6" s="3">
        <f>INDEX($P$4:$W$4,MATCH(MAX(P6:W6),P6:W6,0))</f>
        <v/>
      </c>
      <c r="N6" s="3">
        <f>IF(L6=0,0,MAX(P6:W6)/L6)</f>
        <v/>
      </c>
      <c r="O6" s="3">
        <f>IF(G6=0,0,(F6/G6)*2 + N6 + K6)</f>
        <v/>
      </c>
      <c r="P6" s="3">
        <f>COUNTIF(tblResponses[F3-02 TR codes (select up to 3) — pilot with monitoring],"*TR1*")</f>
        <v/>
      </c>
      <c r="Q6" s="3">
        <f>COUNTIF(tblResponses[F3-02 TR codes (select up to 3) — pilot with monitoring],"*TR2*")</f>
        <v/>
      </c>
      <c r="R6" s="3">
        <f>COUNTIF(tblResponses[F3-02 TR codes (select up to 3) — pilot with monitoring],"*TR3*")</f>
        <v/>
      </c>
      <c r="S6" s="3">
        <f>COUNTIF(tblResponses[F3-02 TR codes (select up to 3) — pilot with monitoring],"*TR4*")</f>
        <v/>
      </c>
      <c r="T6" s="3">
        <f>COUNTIF(tblResponses[F3-02 TR codes (select up to 3) — pilot with monitoring],"*TR5*")</f>
        <v/>
      </c>
      <c r="U6" s="3">
        <f>COUNTIF(tblResponses[F3-02 TR codes (select up to 3) — pilot with monitoring],"*TR6*")</f>
        <v/>
      </c>
      <c r="V6" s="3">
        <f>COUNTIF(tblResponses[F3-02 TR codes (select up to 3) — pilot with monitoring],"*TR7*")</f>
        <v/>
      </c>
      <c r="W6" s="3">
        <f>COUNTIF(tblResponses[F3-02 TR codes (select up to 3) — pilot with monitoring],"*TR8*")</f>
        <v/>
      </c>
    </row>
    <row r="7">
      <c r="A7" s="3" t="inlineStr">
        <is>
          <t>F3-03</t>
        </is>
      </c>
      <c r="B7" s="3" t="inlineStr">
        <is>
          <t>P-TPC</t>
        </is>
      </c>
      <c r="C7" s="3" t="inlineStr">
        <is>
          <t>accountable ownership</t>
        </is>
      </c>
      <c r="D7" s="3" t="inlineStr">
        <is>
          <t>Data minimization (P-TPC)</t>
        </is>
      </c>
      <c r="E7" s="3">
        <f>COUNTIF(tblResponses[F3-03 approval — accountable ownership],"Approve")</f>
        <v/>
      </c>
      <c r="F7" s="3">
        <f>COUNTIF(tblResponses[F3-03 approval — accountable ownership],"Do not approve")</f>
        <v/>
      </c>
      <c r="G7" s="3">
        <f>COUNTIF(tblResponses[F3-03 approval — accountable ownership],"&lt;&gt;")</f>
        <v/>
      </c>
      <c r="H7" s="3">
        <f>IF(G7=0,0,E7/G7)</f>
        <v/>
      </c>
      <c r="I7" s="3">
        <f>IF(H7&gt;=0.8,"Green",IF(H7&gt;=0.6,"Yellow","Red"))</f>
        <v/>
      </c>
      <c r="J7" s="3">
        <f>COUNTIF(tblResponses[F3-03 comment (optional) — accountable ownership],"&lt;&gt;")</f>
        <v/>
      </c>
      <c r="K7" s="3">
        <f>IF(J7&gt;=10,0.2,IF(J7&gt;=5,0.1,0))</f>
        <v/>
      </c>
      <c r="L7" s="3">
        <f>SUM(P7:W7)</f>
        <v/>
      </c>
      <c r="M7" s="3">
        <f>INDEX($P$4:$W$4,MATCH(MAX(P7:W7),P7:W7,0))</f>
        <v/>
      </c>
      <c r="N7" s="3">
        <f>IF(L7=0,0,MAX(P7:W7)/L7)</f>
        <v/>
      </c>
      <c r="O7" s="3">
        <f>IF(G7=0,0,(F7/G7)*2 + N7 + K7)</f>
        <v/>
      </c>
      <c r="P7" s="3">
        <f>COUNTIF(tblResponses[F3-03 TR codes (select up to 3) — accountable ownership],"*TR1*")</f>
        <v/>
      </c>
      <c r="Q7" s="3">
        <f>COUNTIF(tblResponses[F3-03 TR codes (select up to 3) — accountable ownership],"*TR2*")</f>
        <v/>
      </c>
      <c r="R7" s="3">
        <f>COUNTIF(tblResponses[F3-03 TR codes (select up to 3) — accountable ownership],"*TR3*")</f>
        <v/>
      </c>
      <c r="S7" s="3">
        <f>COUNTIF(tblResponses[F3-03 TR codes (select up to 3) — accountable ownership],"*TR4*")</f>
        <v/>
      </c>
      <c r="T7" s="3">
        <f>COUNTIF(tblResponses[F3-03 TR codes (select up to 3) — accountable ownership],"*TR5*")</f>
        <v/>
      </c>
      <c r="U7" s="3">
        <f>COUNTIF(tblResponses[F3-03 TR codes (select up to 3) — accountable ownership],"*TR6*")</f>
        <v/>
      </c>
      <c r="V7" s="3">
        <f>COUNTIF(tblResponses[F3-03 TR codes (select up to 3) — accountable ownership],"*TR7*")</f>
        <v/>
      </c>
      <c r="W7" s="3">
        <f>COUNTIF(tblResponses[F3-03 TR codes (select up to 3) — accountable ownership],"*TR8*")</f>
        <v/>
      </c>
    </row>
    <row r="8" ht="29" customHeight="1">
      <c r="A8" s="3" t="inlineStr">
        <is>
          <t>F3-04</t>
        </is>
      </c>
      <c r="B8" s="3" t="inlineStr">
        <is>
          <t>P-AAI</t>
        </is>
      </c>
      <c r="C8" s="3" t="inlineStr">
        <is>
          <t>common use-case language</t>
        </is>
      </c>
      <c r="D8" s="3" t="inlineStr">
        <is>
          <t>Tiered permissioning (P-GGA) + Plain-language transparency (P-TPC)</t>
        </is>
      </c>
      <c r="E8" s="3">
        <f>COUNTIF(tblResponses[F3-04 approval — common use-case language],"Approve")</f>
        <v/>
      </c>
      <c r="F8" s="3">
        <f>COUNTIF(tblResponses[F3-04 approval — common use-case language],"Do not approve")</f>
        <v/>
      </c>
      <c r="G8" s="3">
        <f>COUNTIF(tblResponses[F3-04 approval — common use-case language],"&lt;&gt;")</f>
        <v/>
      </c>
      <c r="H8" s="3">
        <f>IF(G8=0,0,E8/G8)</f>
        <v/>
      </c>
      <c r="I8" s="3">
        <f>IF(H8&gt;=0.8,"Green",IF(H8&gt;=0.6,"Yellow","Red"))</f>
        <v/>
      </c>
      <c r="J8" s="3">
        <f>COUNTIF(tblResponses[F3-04 comment (optional) — common use-case language],"&lt;&gt;")</f>
        <v/>
      </c>
      <c r="K8" s="3">
        <f>IF(J8&gt;=10,0.2,IF(J8&gt;=5,0.1,0))</f>
        <v/>
      </c>
      <c r="L8" s="3">
        <f>SUM(P8:W8)</f>
        <v/>
      </c>
      <c r="M8" s="3">
        <f>INDEX($P$4:$W$4,MATCH(MAX(P8:W8),P8:W8,0))</f>
        <v/>
      </c>
      <c r="N8" s="3">
        <f>IF(L8=0,0,MAX(P8:W8)/L8)</f>
        <v/>
      </c>
      <c r="O8" s="3">
        <f>IF(G8=0,0,(F8/G8)*2 + N8 + K8)</f>
        <v/>
      </c>
      <c r="P8" s="3">
        <f>COUNTIF(tblResponses[F3-04 TR codes (select up to 3) — common use-case language],"*TR1*")</f>
        <v/>
      </c>
      <c r="Q8" s="3">
        <f>COUNTIF(tblResponses[F3-04 TR codes (select up to 3) — common use-case language],"*TR2*")</f>
        <v/>
      </c>
      <c r="R8" s="3">
        <f>COUNTIF(tblResponses[F3-04 TR codes (select up to 3) — common use-case language],"*TR3*")</f>
        <v/>
      </c>
      <c r="S8" s="3">
        <f>COUNTIF(tblResponses[F3-04 TR codes (select up to 3) — common use-case language],"*TR4*")</f>
        <v/>
      </c>
      <c r="T8" s="3">
        <f>COUNTIF(tblResponses[F3-04 TR codes (select up to 3) — common use-case language],"*TR5*")</f>
        <v/>
      </c>
      <c r="U8" s="3">
        <f>COUNTIF(tblResponses[F3-04 TR codes (select up to 3) — common use-case language],"*TR6*")</f>
        <v/>
      </c>
      <c r="V8" s="3">
        <f>COUNTIF(tblResponses[F3-04 TR codes (select up to 3) — common use-case language],"*TR7*")</f>
        <v/>
      </c>
      <c r="W8" s="3">
        <f>COUNTIF(tblResponses[F3-04 TR codes (select up to 3) — common use-case language],"*TR8*")</f>
        <v/>
      </c>
    </row>
    <row r="9">
      <c r="A9" s="3" t="inlineStr">
        <is>
          <t>F3-05</t>
        </is>
      </c>
      <c r="B9" s="3" t="inlineStr">
        <is>
          <t>P-AAI</t>
        </is>
      </c>
      <c r="C9" s="3" t="inlineStr">
        <is>
          <t>design before bans</t>
        </is>
      </c>
      <c r="D9" s="3" t="inlineStr">
        <is>
          <t>Process evidence (P-AAI)</t>
        </is>
      </c>
      <c r="E9" s="3">
        <f>COUNTIF(tblResponses[F3-05 approval — design before bans],"Approve")</f>
        <v/>
      </c>
      <c r="F9" s="3">
        <f>COUNTIF(tblResponses[F3-05 approval — design before bans],"Do not approve")</f>
        <v/>
      </c>
      <c r="G9" s="3">
        <f>COUNTIF(tblResponses[F3-05 approval — design before bans],"&lt;&gt;")</f>
        <v/>
      </c>
      <c r="H9" s="3">
        <f>IF(G9=0,0,E9/G9)</f>
        <v/>
      </c>
      <c r="I9" s="3">
        <f>IF(H9&gt;=0.8,"Green",IF(H9&gt;=0.6,"Yellow","Red"))</f>
        <v/>
      </c>
      <c r="J9" s="3">
        <f>COUNTIF(tblResponses[F3-05 comment (optional) — design before bans],"&lt;&gt;")</f>
        <v/>
      </c>
      <c r="K9" s="3">
        <f>IF(J9&gt;=10,0.2,IF(J9&gt;=5,0.1,0))</f>
        <v/>
      </c>
      <c r="L9" s="3">
        <f>SUM(P9:W9)</f>
        <v/>
      </c>
      <c r="M9" s="3">
        <f>INDEX($P$4:$W$4,MATCH(MAX(P9:W9),P9:W9,0))</f>
        <v/>
      </c>
      <c r="N9" s="3">
        <f>IF(L9=0,0,MAX(P9:W9)/L9)</f>
        <v/>
      </c>
      <c r="O9" s="3">
        <f>IF(G9=0,0,(F9/G9)*2 + N9 + K9)</f>
        <v/>
      </c>
      <c r="P9" s="3">
        <f>COUNTIF(tblResponses[F3-05 TR codes (select up to 3) — design before bans],"*TR1*")</f>
        <v/>
      </c>
      <c r="Q9" s="3">
        <f>COUNTIF(tblResponses[F3-05 TR codes (select up to 3) — design before bans],"*TR2*")</f>
        <v/>
      </c>
      <c r="R9" s="3">
        <f>COUNTIF(tblResponses[F3-05 TR codes (select up to 3) — design before bans],"*TR3*")</f>
        <v/>
      </c>
      <c r="S9" s="3">
        <f>COUNTIF(tblResponses[F3-05 TR codes (select up to 3) — design before bans],"*TR4*")</f>
        <v/>
      </c>
      <c r="T9" s="3">
        <f>COUNTIF(tblResponses[F3-05 TR codes (select up to 3) — design before bans],"*TR5*")</f>
        <v/>
      </c>
      <c r="U9" s="3">
        <f>COUNTIF(tblResponses[F3-05 TR codes (select up to 3) — design before bans],"*TR6*")</f>
        <v/>
      </c>
      <c r="V9" s="3">
        <f>COUNTIF(tblResponses[F3-05 TR codes (select up to 3) — design before bans],"*TR7*")</f>
        <v/>
      </c>
      <c r="W9" s="3">
        <f>COUNTIF(tblResponses[F3-05 TR codes (select up to 3) — design before bans],"*TR8*")</f>
        <v/>
      </c>
    </row>
    <row r="10">
      <c r="A10" s="3" t="inlineStr">
        <is>
          <t>F3-06</t>
        </is>
      </c>
      <c r="B10" s="3" t="inlineStr">
        <is>
          <t>P-AAI</t>
        </is>
      </c>
      <c r="C10" s="3" t="inlineStr">
        <is>
          <t>detectors are advisory</t>
        </is>
      </c>
      <c r="D10" s="3" t="inlineStr">
        <is>
          <t>No detector-only decisions (P-AAI)</t>
        </is>
      </c>
      <c r="E10" s="3">
        <f>COUNTIF(tblResponses[F3-06 approval — detectors are advisory],"Approve")</f>
        <v/>
      </c>
      <c r="F10" s="3">
        <f>COUNTIF(tblResponses[F3-06 approval — detectors are advisory],"Do not approve")</f>
        <v/>
      </c>
      <c r="G10" s="3">
        <f>COUNTIF(tblResponses[F3-06 approval — detectors are advisory],"&lt;&gt;")</f>
        <v/>
      </c>
      <c r="H10" s="3">
        <f>IF(G10=0,0,E10/G10)</f>
        <v/>
      </c>
      <c r="I10" s="3">
        <f>IF(H10&gt;=0.8,"Green",IF(H10&gt;=0.6,"Yellow","Red"))</f>
        <v/>
      </c>
      <c r="J10" s="3">
        <f>COUNTIF(tblResponses[F3-06 comment (optional) — detectors are advisory],"&lt;&gt;")</f>
        <v/>
      </c>
      <c r="K10" s="3">
        <f>IF(J10&gt;=10,0.2,IF(J10&gt;=5,0.1,0))</f>
        <v/>
      </c>
      <c r="L10" s="3">
        <f>SUM(P10:W10)</f>
        <v/>
      </c>
      <c r="M10" s="3">
        <f>INDEX($P$4:$W$4,MATCH(MAX(P10:W10),P10:W10,0))</f>
        <v/>
      </c>
      <c r="N10" s="3">
        <f>IF(L10=0,0,MAX(P10:W10)/L10)</f>
        <v/>
      </c>
      <c r="O10" s="3">
        <f>IF(G10=0,0,(F10/G10)*2 + N10 + K10)</f>
        <v/>
      </c>
      <c r="P10" s="3">
        <f>COUNTIF(tblResponses[F3-06 TR codes (select up to 3) — detectors are advisory],"*TR1*")</f>
        <v/>
      </c>
      <c r="Q10" s="3">
        <f>COUNTIF(tblResponses[F3-06 TR codes (select up to 3) — detectors are advisory],"*TR2*")</f>
        <v/>
      </c>
      <c r="R10" s="3">
        <f>COUNTIF(tblResponses[F3-06 TR codes (select up to 3) — detectors are advisory],"*TR3*")</f>
        <v/>
      </c>
      <c r="S10" s="3">
        <f>COUNTIF(tblResponses[F3-06 TR codes (select up to 3) — detectors are advisory],"*TR4*")</f>
        <v/>
      </c>
      <c r="T10" s="3">
        <f>COUNTIF(tblResponses[F3-06 TR codes (select up to 3) — detectors are advisory],"*TR5*")</f>
        <v/>
      </c>
      <c r="U10" s="3">
        <f>COUNTIF(tblResponses[F3-06 TR codes (select up to 3) — detectors are advisory],"*TR6*")</f>
        <v/>
      </c>
      <c r="V10" s="3">
        <f>COUNTIF(tblResponses[F3-06 TR codes (select up to 3) — detectors are advisory],"*TR7*")</f>
        <v/>
      </c>
      <c r="W10" s="3">
        <f>COUNTIF(tblResponses[F3-06 TR codes (select up to 3) — detectors are advisory],"*TR8*")</f>
        <v/>
      </c>
    </row>
    <row r="11">
      <c r="A11" s="3" t="inlineStr">
        <is>
          <t>F3-07</t>
        </is>
      </c>
      <c r="B11" s="3" t="inlineStr">
        <is>
          <t>P-AAI</t>
        </is>
      </c>
      <c r="C11" s="3" t="inlineStr">
        <is>
          <t>student disclosure</t>
        </is>
      </c>
      <c r="D11" s="3" t="inlineStr">
        <is>
          <t>Process evidence (P-AAI) / transparency</t>
        </is>
      </c>
      <c r="E11" s="3">
        <f>COUNTIF(tblResponses[F3-07 approval — student disclosure],"Approve")</f>
        <v/>
      </c>
      <c r="F11" s="3">
        <f>COUNTIF(tblResponses[F3-07 approval — student disclosure],"Do not approve")</f>
        <v/>
      </c>
      <c r="G11" s="3">
        <f>COUNTIF(tblResponses[F3-07 approval — student disclosure],"&lt;&gt;")</f>
        <v/>
      </c>
      <c r="H11" s="3">
        <f>IF(G11=0,0,E11/G11)</f>
        <v/>
      </c>
      <c r="I11" s="3">
        <f>IF(H11&gt;=0.8,"Green",IF(H11&gt;=0.6,"Yellow","Red"))</f>
        <v/>
      </c>
      <c r="J11" s="3">
        <f>COUNTIF(tblResponses[F3-07 comment (optional) — student disclosure],"&lt;&gt;")</f>
        <v/>
      </c>
      <c r="K11" s="3">
        <f>IF(J11&gt;=10,0.2,IF(J11&gt;=5,0.1,0))</f>
        <v/>
      </c>
      <c r="L11" s="3">
        <f>SUM(P11:W11)</f>
        <v/>
      </c>
      <c r="M11" s="3">
        <f>INDEX($P$4:$W$4,MATCH(MAX(P11:W11),P11:W11,0))</f>
        <v/>
      </c>
      <c r="N11" s="3">
        <f>IF(L11=0,0,MAX(P11:W11)/L11)</f>
        <v/>
      </c>
      <c r="O11" s="3">
        <f>IF(G11=0,0,(F11/G11)*2 + N11 + K11)</f>
        <v/>
      </c>
      <c r="P11" s="3">
        <f>COUNTIF(tblResponses[F3-07 TR codes (select up to 3) — student disclosure],"*TR1*")</f>
        <v/>
      </c>
      <c r="Q11" s="3">
        <f>COUNTIF(tblResponses[F3-07 TR codes (select up to 3) — student disclosure],"*TR2*")</f>
        <v/>
      </c>
      <c r="R11" s="3">
        <f>COUNTIF(tblResponses[F3-07 TR codes (select up to 3) — student disclosure],"*TR3*")</f>
        <v/>
      </c>
      <c r="S11" s="3">
        <f>COUNTIF(tblResponses[F3-07 TR codes (select up to 3) — student disclosure],"*TR4*")</f>
        <v/>
      </c>
      <c r="T11" s="3">
        <f>COUNTIF(tblResponses[F3-07 TR codes (select up to 3) — student disclosure],"*TR5*")</f>
        <v/>
      </c>
      <c r="U11" s="3">
        <f>COUNTIF(tblResponses[F3-07 TR codes (select up to 3) — student disclosure],"*TR6*")</f>
        <v/>
      </c>
      <c r="V11" s="3">
        <f>COUNTIF(tblResponses[F3-07 TR codes (select up to 3) — student disclosure],"*TR7*")</f>
        <v/>
      </c>
      <c r="W11" s="3">
        <f>COUNTIF(tblResponses[F3-07 TR codes (select up to 3) — student disclosure],"*TR8*")</f>
        <v/>
      </c>
    </row>
    <row r="12">
      <c r="A12" s="3" t="inlineStr">
        <is>
          <t>F3-08</t>
        </is>
      </c>
      <c r="B12" s="3" t="inlineStr">
        <is>
          <t>P-EAI</t>
        </is>
      </c>
      <c r="C12" s="3" t="inlineStr">
        <is>
          <t>non-AI path</t>
        </is>
      </c>
      <c r="D12" s="3" t="inlineStr">
        <is>
          <t>Equity by design (P-EAI)</t>
        </is>
      </c>
      <c r="E12" s="3">
        <f>COUNTIF(tblResponses[F3-08 approval — non-AI path],"Approve")</f>
        <v/>
      </c>
      <c r="F12" s="3">
        <f>COUNTIF(tblResponses[F3-08 approval — non-AI path],"Do not approve")</f>
        <v/>
      </c>
      <c r="G12" s="3">
        <f>COUNTIF(tblResponses[F3-08 approval — non-AI path],"&lt;&gt;")</f>
        <v/>
      </c>
      <c r="H12" s="3">
        <f>IF(G12=0,0,E12/G12)</f>
        <v/>
      </c>
      <c r="I12" s="3">
        <f>IF(H12&gt;=0.8,"Green",IF(H12&gt;=0.6,"Yellow","Red"))</f>
        <v/>
      </c>
      <c r="J12" s="3">
        <f>COUNTIF(tblResponses[F3-08 comment (optional) — non-AI path],"&lt;&gt;")</f>
        <v/>
      </c>
      <c r="K12" s="3">
        <f>IF(J12&gt;=10,0.2,IF(J12&gt;=5,0.1,0))</f>
        <v/>
      </c>
      <c r="L12" s="3">
        <f>SUM(P12:W12)</f>
        <v/>
      </c>
      <c r="M12" s="3">
        <f>INDEX($P$4:$W$4,MATCH(MAX(P12:W12),P12:W12,0))</f>
        <v/>
      </c>
      <c r="N12" s="3">
        <f>IF(L12=0,0,MAX(P12:W12)/L12)</f>
        <v/>
      </c>
      <c r="O12" s="3">
        <f>IF(G12=0,0,(F12/G12)*2 + N12 + K12)</f>
        <v/>
      </c>
      <c r="P12" s="3">
        <f>COUNTIF(tblResponses[F3-08 TR codes (select up to 3) — non-AI path],"*TR1*")</f>
        <v/>
      </c>
      <c r="Q12" s="3">
        <f>COUNTIF(tblResponses[F3-08 TR codes (select up to 3) — non-AI path],"*TR2*")</f>
        <v/>
      </c>
      <c r="R12" s="3">
        <f>COUNTIF(tblResponses[F3-08 TR codes (select up to 3) — non-AI path],"*TR3*")</f>
        <v/>
      </c>
      <c r="S12" s="3">
        <f>COUNTIF(tblResponses[F3-08 TR codes (select up to 3) — non-AI path],"*TR4*")</f>
        <v/>
      </c>
      <c r="T12" s="3">
        <f>COUNTIF(tblResponses[F3-08 TR codes (select up to 3) — non-AI path],"*TR5*")</f>
        <v/>
      </c>
      <c r="U12" s="3">
        <f>COUNTIF(tblResponses[F3-08 TR codes (select up to 3) — non-AI path],"*TR6*")</f>
        <v/>
      </c>
      <c r="V12" s="3">
        <f>COUNTIF(tblResponses[F3-08 TR codes (select up to 3) — non-AI path],"*TR7*")</f>
        <v/>
      </c>
      <c r="W12" s="3">
        <f>COUNTIF(tblResponses[F3-08 TR codes (select up to 3) — non-AI path],"*TR8*")</f>
        <v/>
      </c>
    </row>
    <row r="13" ht="29" customHeight="1">
      <c r="A13" s="3" t="inlineStr">
        <is>
          <t>F3-09</t>
        </is>
      </c>
      <c r="B13" s="3" t="inlineStr">
        <is>
          <t>P-EAI</t>
        </is>
      </c>
      <c r="C13" s="3" t="inlineStr">
        <is>
          <t>IEP/504 decisions stay human</t>
        </is>
      </c>
      <c r="D13" s="3" t="inlineStr">
        <is>
          <t>Human review for high-stakes (P-EAI)</t>
        </is>
      </c>
      <c r="E13" s="3">
        <f>COUNTIF(tblResponses[F3-09 approval — IEP/504 decisions stay human],"Approve")</f>
        <v/>
      </c>
      <c r="F13" s="3">
        <f>COUNTIF(tblResponses[F3-09 approval — IEP/504 decisions stay human],"Do not approve")</f>
        <v/>
      </c>
      <c r="G13" s="3">
        <f>COUNTIF(tblResponses[F3-09 approval — IEP/504 decisions stay human],"&lt;&gt;")</f>
        <v/>
      </c>
      <c r="H13" s="3">
        <f>IF(G13=0,0,E13/G13)</f>
        <v/>
      </c>
      <c r="I13" s="3">
        <f>IF(H13&gt;=0.8,"Green",IF(H13&gt;=0.6,"Yellow","Red"))</f>
        <v/>
      </c>
      <c r="J13" s="3">
        <f>COUNTIF(tblResponses[F3-09 comment (optional) — IEP/504 decisions stay human],"&lt;&gt;")</f>
        <v/>
      </c>
      <c r="K13" s="3">
        <f>IF(J13&gt;=10,0.2,IF(J13&gt;=5,0.1,0))</f>
        <v/>
      </c>
      <c r="L13" s="3">
        <f>SUM(P13:W13)</f>
        <v/>
      </c>
      <c r="M13" s="3">
        <f>INDEX($P$4:$W$4,MATCH(MAX(P13:W13),P13:W13,0))</f>
        <v/>
      </c>
      <c r="N13" s="3">
        <f>IF(L13=0,0,MAX(P13:W13)/L13)</f>
        <v/>
      </c>
      <c r="O13" s="3">
        <f>IF(G13=0,0,(F13/G13)*2 + N13 + K13)</f>
        <v/>
      </c>
      <c r="P13" s="3">
        <f>COUNTIF(tblResponses[F3-09 TR codes (select up to 3) — IEP/504 decisions stay human],"*TR1*")</f>
        <v/>
      </c>
      <c r="Q13" s="3">
        <f>COUNTIF(tblResponses[F3-09 TR codes (select up to 3) — IEP/504 decisions stay human],"*TR2*")</f>
        <v/>
      </c>
      <c r="R13" s="3">
        <f>COUNTIF(tblResponses[F3-09 TR codes (select up to 3) — IEP/504 decisions stay human],"*TR3*")</f>
        <v/>
      </c>
      <c r="S13" s="3">
        <f>COUNTIF(tblResponses[F3-09 TR codes (select up to 3) — IEP/504 decisions stay human],"*TR4*")</f>
        <v/>
      </c>
      <c r="T13" s="3">
        <f>COUNTIF(tblResponses[F3-09 TR codes (select up to 3) — IEP/504 decisions stay human],"*TR5*")</f>
        <v/>
      </c>
      <c r="U13" s="3">
        <f>COUNTIF(tblResponses[F3-09 TR codes (select up to 3) — IEP/504 decisions stay human],"*TR6*")</f>
        <v/>
      </c>
      <c r="V13" s="3">
        <f>COUNTIF(tblResponses[F3-09 TR codes (select up to 3) — IEP/504 decisions stay human],"*TR7*")</f>
        <v/>
      </c>
      <c r="W13" s="3">
        <f>COUNTIF(tblResponses[F3-09 TR codes (select up to 3) — IEP/504 decisions stay human],"*TR8*")</f>
        <v/>
      </c>
    </row>
    <row r="14">
      <c r="A14" s="3" t="inlineStr">
        <is>
          <t>F3-10</t>
        </is>
      </c>
      <c r="B14" s="3" t="inlineStr">
        <is>
          <t>P-EAI</t>
        </is>
      </c>
      <c r="C14" s="3" t="inlineStr">
        <is>
          <t>access plus supports</t>
        </is>
      </c>
      <c r="D14" s="3" t="inlineStr">
        <is>
          <t>Equity by design (P-EAI)</t>
        </is>
      </c>
      <c r="E14" s="3">
        <f>COUNTIF(tblResponses[F3-10 approval — access plus supports],"Approve")</f>
        <v/>
      </c>
      <c r="F14" s="3">
        <f>COUNTIF(tblResponses[F3-10 approval — access plus supports],"Do not approve")</f>
        <v/>
      </c>
      <c r="G14" s="3">
        <f>COUNTIF(tblResponses[F3-10 approval — access plus supports],"&lt;&gt;")</f>
        <v/>
      </c>
      <c r="H14" s="3">
        <f>IF(G14=0,0,E14/G14)</f>
        <v/>
      </c>
      <c r="I14" s="3">
        <f>IF(H14&gt;=0.8,"Green",IF(H14&gt;=0.6,"Yellow","Red"))</f>
        <v/>
      </c>
      <c r="J14" s="3">
        <f>COUNTIF(tblResponses[F3-10 comment (optional) — access plus supports],"&lt;&gt;")</f>
        <v/>
      </c>
      <c r="K14" s="3">
        <f>IF(J14&gt;=10,0.2,IF(J14&gt;=5,0.1,0))</f>
        <v/>
      </c>
      <c r="L14" s="3">
        <f>SUM(P14:W14)</f>
        <v/>
      </c>
      <c r="M14" s="3">
        <f>INDEX($P$4:$W$4,MATCH(MAX(P14:W14),P14:W14,0))</f>
        <v/>
      </c>
      <c r="N14" s="3">
        <f>IF(L14=0,0,MAX(P14:W14)/L14)</f>
        <v/>
      </c>
      <c r="O14" s="3">
        <f>IF(G14=0,0,(F14/G14)*2 + N14 + K14)</f>
        <v/>
      </c>
      <c r="P14" s="3">
        <f>COUNTIF(tblResponses[F3-10 TR codes (select up to 3) — access plus supports],"*TR1*")</f>
        <v/>
      </c>
      <c r="Q14" s="3">
        <f>COUNTIF(tblResponses[F3-10 TR codes (select up to 3) — access plus supports],"*TR2*")</f>
        <v/>
      </c>
      <c r="R14" s="3">
        <f>COUNTIF(tblResponses[F3-10 TR codes (select up to 3) — access plus supports],"*TR3*")</f>
        <v/>
      </c>
      <c r="S14" s="3">
        <f>COUNTIF(tblResponses[F3-10 TR codes (select up to 3) — access plus supports],"*TR4*")</f>
        <v/>
      </c>
      <c r="T14" s="3">
        <f>COUNTIF(tblResponses[F3-10 TR codes (select up to 3) — access plus supports],"*TR5*")</f>
        <v/>
      </c>
      <c r="U14" s="3">
        <f>COUNTIF(tblResponses[F3-10 TR codes (select up to 3) — access plus supports],"*TR6*")</f>
        <v/>
      </c>
      <c r="V14" s="3">
        <f>COUNTIF(tblResponses[F3-10 TR codes (select up to 3) — access plus supports],"*TR7*")</f>
        <v/>
      </c>
      <c r="W14" s="3">
        <f>COUNTIF(tblResponses[F3-10 TR codes (select up to 3) — access plus supports],"*TR8*")</f>
        <v/>
      </c>
    </row>
    <row r="15" ht="29" customHeight="1">
      <c r="A15" s="3" t="inlineStr">
        <is>
          <t>F3-11</t>
        </is>
      </c>
      <c r="B15" s="3" t="inlineStr">
        <is>
          <t>P-EAI</t>
        </is>
      </c>
      <c r="C15" s="3" t="inlineStr">
        <is>
          <t>UDL augmentation with checks</t>
        </is>
      </c>
      <c r="D15" s="3" t="inlineStr">
        <is>
          <t>Equity by design (P-EAI)</t>
        </is>
      </c>
      <c r="E15" s="3">
        <f>COUNTIF(tblResponses[F3-11 approval — UDL augmentation with checks],"Approve")</f>
        <v/>
      </c>
      <c r="F15" s="3">
        <f>COUNTIF(tblResponses[F3-11 approval — UDL augmentation with checks],"Do not approve")</f>
        <v/>
      </c>
      <c r="G15" s="3">
        <f>COUNTIF(tblResponses[F3-11 approval — UDL augmentation with checks],"&lt;&gt;")</f>
        <v/>
      </c>
      <c r="H15" s="3">
        <f>IF(G15=0,0,E15/G15)</f>
        <v/>
      </c>
      <c r="I15" s="3">
        <f>IF(H15&gt;=0.8,"Green",IF(H15&gt;=0.6,"Yellow","Red"))</f>
        <v/>
      </c>
      <c r="J15" s="3">
        <f>COUNTIF(tblResponses[F3-11 comment (optional) — UDL augmentation with checks],"&lt;&gt;")</f>
        <v/>
      </c>
      <c r="K15" s="3">
        <f>IF(J15&gt;=10,0.2,IF(J15&gt;=5,0.1,0))</f>
        <v/>
      </c>
      <c r="L15" s="3">
        <f>SUM(P15:W15)</f>
        <v/>
      </c>
      <c r="M15" s="3">
        <f>INDEX($P$4:$W$4,MATCH(MAX(P15:W15),P15:W15,0))</f>
        <v/>
      </c>
      <c r="N15" s="3">
        <f>IF(L15=0,0,MAX(P15:W15)/L15)</f>
        <v/>
      </c>
      <c r="O15" s="3">
        <f>IF(G15=0,0,(F15/G15)*2 + N15 + K15)</f>
        <v/>
      </c>
      <c r="P15" s="3">
        <f>COUNTIF(tblResponses[F3-11 TR codes (select up to 3) — UDL augmentation with checks],"*TR1*")</f>
        <v/>
      </c>
      <c r="Q15" s="3">
        <f>COUNTIF(tblResponses[F3-11 TR codes (select up to 3) — UDL augmentation with checks],"*TR2*")</f>
        <v/>
      </c>
      <c r="R15" s="3">
        <f>COUNTIF(tblResponses[F3-11 TR codes (select up to 3) — UDL augmentation with checks],"*TR3*")</f>
        <v/>
      </c>
      <c r="S15" s="3">
        <f>COUNTIF(tblResponses[F3-11 TR codes (select up to 3) — UDL augmentation with checks],"*TR4*")</f>
        <v/>
      </c>
      <c r="T15" s="3">
        <f>COUNTIF(tblResponses[F3-11 TR codes (select up to 3) — UDL augmentation with checks],"*TR5*")</f>
        <v/>
      </c>
      <c r="U15" s="3">
        <f>COUNTIF(tblResponses[F3-11 TR codes (select up to 3) — UDL augmentation with checks],"*TR6*")</f>
        <v/>
      </c>
      <c r="V15" s="3">
        <f>COUNTIF(tblResponses[F3-11 TR codes (select up to 3) — UDL augmentation with checks],"*TR7*")</f>
        <v/>
      </c>
      <c r="W15" s="3">
        <f>COUNTIF(tblResponses[F3-11 TR codes (select up to 3) — UDL augmentation with checks],"*TR8*")</f>
        <v/>
      </c>
    </row>
    <row r="16">
      <c r="A16" s="3" t="inlineStr">
        <is>
          <t>F3-12</t>
        </is>
      </c>
      <c r="B16" s="3" t="inlineStr">
        <is>
          <t>P-GGA</t>
        </is>
      </c>
      <c r="C16" s="3" t="inlineStr">
        <is>
          <t>evaluate before scaling</t>
        </is>
      </c>
      <c r="D16" s="3" t="inlineStr">
        <is>
          <t>Evidence-driven updates (P-GGA)</t>
        </is>
      </c>
      <c r="E16" s="3">
        <f>COUNTIF(tblResponses[F3-12 approval — evaluate before scaling],"Approve")</f>
        <v/>
      </c>
      <c r="F16" s="3">
        <f>COUNTIF(tblResponses[F3-12 approval — evaluate before scaling],"Do not approve")</f>
        <v/>
      </c>
      <c r="G16" s="3">
        <f>COUNTIF(tblResponses[F3-12 approval — evaluate before scaling],"&lt;&gt;")</f>
        <v/>
      </c>
      <c r="H16" s="3">
        <f>IF(G16=0,0,E16/G16)</f>
        <v/>
      </c>
      <c r="I16" s="3">
        <f>IF(H16&gt;=0.8,"Green",IF(H16&gt;=0.6,"Yellow","Red"))</f>
        <v/>
      </c>
      <c r="J16" s="3">
        <f>COUNTIF(tblResponses[F3-12 comment (optional) — evaluate before scaling],"&lt;&gt;")</f>
        <v/>
      </c>
      <c r="K16" s="3">
        <f>IF(J16&gt;=10,0.2,IF(J16&gt;=5,0.1,0))</f>
        <v/>
      </c>
      <c r="L16" s="3">
        <f>SUM(P16:W16)</f>
        <v/>
      </c>
      <c r="M16" s="3">
        <f>INDEX($P$4:$W$4,MATCH(MAX(P16:W16),P16:W16,0))</f>
        <v/>
      </c>
      <c r="N16" s="3">
        <f>IF(L16=0,0,MAX(P16:W16)/L16)</f>
        <v/>
      </c>
      <c r="O16" s="3">
        <f>IF(G16=0,0,(F16/G16)*2 + N16 + K16)</f>
        <v/>
      </c>
      <c r="P16" s="3">
        <f>COUNTIF(tblResponses[F3-12 TR codes (select up to 3) — evaluate before scaling],"*TR1*")</f>
        <v/>
      </c>
      <c r="Q16" s="3">
        <f>COUNTIF(tblResponses[F3-12 TR codes (select up to 3) — evaluate before scaling],"*TR2*")</f>
        <v/>
      </c>
      <c r="R16" s="3">
        <f>COUNTIF(tblResponses[F3-12 TR codes (select up to 3) — evaluate before scaling],"*TR3*")</f>
        <v/>
      </c>
      <c r="S16" s="3">
        <f>COUNTIF(tblResponses[F3-12 TR codes (select up to 3) — evaluate before scaling],"*TR4*")</f>
        <v/>
      </c>
      <c r="T16" s="3">
        <f>COUNTIF(tblResponses[F3-12 TR codes (select up to 3) — evaluate before scaling],"*TR5*")</f>
        <v/>
      </c>
      <c r="U16" s="3">
        <f>COUNTIF(tblResponses[F3-12 TR codes (select up to 3) — evaluate before scaling],"*TR6*")</f>
        <v/>
      </c>
      <c r="V16" s="3">
        <f>COUNTIF(tblResponses[F3-12 TR codes (select up to 3) — evaluate before scaling],"*TR7*")</f>
        <v/>
      </c>
      <c r="W16" s="3">
        <f>COUNTIF(tblResponses[F3-12 TR codes (select up to 3) — evaluate before scaling],"*TR8*")</f>
        <v/>
      </c>
    </row>
    <row r="17" ht="29" customHeight="1">
      <c r="A17" s="3" t="inlineStr">
        <is>
          <t>F3-13</t>
        </is>
      </c>
      <c r="B17" s="3" t="inlineStr">
        <is>
          <t>P-GGA</t>
        </is>
      </c>
      <c r="C17" s="3" t="inlineStr">
        <is>
          <t>use transparency</t>
        </is>
      </c>
      <c r="D17" s="3" t="inlineStr">
        <is>
          <t>Student disclosure (P-AAI) + Teacher judgment leads (P-TPW)</t>
        </is>
      </c>
      <c r="E17" s="3">
        <f>COUNTIF(tblResponses[F3-13 approval — use transparency],"Approve")</f>
        <v/>
      </c>
      <c r="F17" s="3">
        <f>COUNTIF(tblResponses[F3-13 approval — use transparency],"Do not approve")</f>
        <v/>
      </c>
      <c r="G17" s="3">
        <f>COUNTIF(tblResponses[F3-13 approval — use transparency],"&lt;&gt;")</f>
        <v/>
      </c>
      <c r="H17" s="3">
        <f>IF(G17=0,0,E17/G17)</f>
        <v/>
      </c>
      <c r="I17" s="3">
        <f>IF(H17&gt;=0.8,"Green",IF(H17&gt;=0.6,"Yellow","Red"))</f>
        <v/>
      </c>
      <c r="J17" s="3">
        <f>COUNTIF(tblResponses[F3-13 comment (optional) — use transparency],"&lt;&gt;")</f>
        <v/>
      </c>
      <c r="K17" s="3">
        <f>IF(J17&gt;=10,0.2,IF(J17&gt;=5,0.1,0))</f>
        <v/>
      </c>
      <c r="L17" s="3">
        <f>SUM(P17:W17)</f>
        <v/>
      </c>
      <c r="M17" s="3">
        <f>INDEX($P$4:$W$4,MATCH(MAX(P17:W17),P17:W17,0))</f>
        <v/>
      </c>
      <c r="N17" s="3">
        <f>IF(L17=0,0,MAX(P17:W17)/L17)</f>
        <v/>
      </c>
      <c r="O17" s="3">
        <f>IF(G17=0,0,(F17/G17)*2 + N17 + K17)</f>
        <v/>
      </c>
      <c r="P17" s="3">
        <f>COUNTIF(tblResponses[F3-13 TR codes (select up to 3) — use transparency],"*TR1*")</f>
        <v/>
      </c>
      <c r="Q17" s="3">
        <f>COUNTIF(tblResponses[F3-13 TR codes (select up to 3) — use transparency],"*TR2*")</f>
        <v/>
      </c>
      <c r="R17" s="3">
        <f>COUNTIF(tblResponses[F3-13 TR codes (select up to 3) — use transparency],"*TR3*")</f>
        <v/>
      </c>
      <c r="S17" s="3">
        <f>COUNTIF(tblResponses[F3-13 TR codes (select up to 3) — use transparency],"*TR4*")</f>
        <v/>
      </c>
      <c r="T17" s="3">
        <f>COUNTIF(tblResponses[F3-13 TR codes (select up to 3) — use transparency],"*TR5*")</f>
        <v/>
      </c>
      <c r="U17" s="3">
        <f>COUNTIF(tblResponses[F3-13 TR codes (select up to 3) — use transparency],"*TR6*")</f>
        <v/>
      </c>
      <c r="V17" s="3">
        <f>COUNTIF(tblResponses[F3-13 TR codes (select up to 3) — use transparency],"*TR7*")</f>
        <v/>
      </c>
      <c r="W17" s="3">
        <f>COUNTIF(tblResponses[F3-13 TR codes (select up to 3) — use transparency],"*TR8*")</f>
        <v/>
      </c>
    </row>
    <row r="18">
      <c r="A18" s="3" t="inlineStr">
        <is>
          <t>F3-14</t>
        </is>
      </c>
      <c r="B18" s="3" t="inlineStr">
        <is>
          <t>P-GGA</t>
        </is>
      </c>
      <c r="C18" s="3" t="inlineStr">
        <is>
          <t>pilot plus off-ramps</t>
        </is>
      </c>
      <c r="D18" s="3" t="inlineStr">
        <is>
          <t>Evidence-driven updates (P-GGA)</t>
        </is>
      </c>
      <c r="E18" s="3">
        <f>COUNTIF(tblResponses[F3-14 approval — pilot plus off-ramps],"Approve")</f>
        <v/>
      </c>
      <c r="F18" s="3">
        <f>COUNTIF(tblResponses[F3-14 approval — pilot plus off-ramps],"Do not approve")</f>
        <v/>
      </c>
      <c r="G18" s="3">
        <f>COUNTIF(tblResponses[F3-14 approval — pilot plus off-ramps],"&lt;&gt;")</f>
        <v/>
      </c>
      <c r="H18" s="3">
        <f>IF(G18=0,0,E18/G18)</f>
        <v/>
      </c>
      <c r="I18" s="3">
        <f>IF(H18&gt;=0.8,"Green",IF(H18&gt;=0.6,"Yellow","Red"))</f>
        <v/>
      </c>
      <c r="J18" s="3">
        <f>COUNTIF(tblResponses[F3-14 comment (optional) — pilot plus off-ramps],"&lt;&gt;")</f>
        <v/>
      </c>
      <c r="K18" s="3">
        <f>IF(J18&gt;=10,0.2,IF(J18&gt;=5,0.1,0))</f>
        <v/>
      </c>
      <c r="L18" s="3">
        <f>SUM(P18:W18)</f>
        <v/>
      </c>
      <c r="M18" s="3">
        <f>INDEX($P$4:$W$4,MATCH(MAX(P18:W18),P18:W18,0))</f>
        <v/>
      </c>
      <c r="N18" s="3">
        <f>IF(L18=0,0,MAX(P18:W18)/L18)</f>
        <v/>
      </c>
      <c r="O18" s="3">
        <f>IF(G18=0,0,(F18/G18)*2 + N18 + K18)</f>
        <v/>
      </c>
      <c r="P18" s="3">
        <f>COUNTIF(tblResponses[F3-14 TR codes (select up to 3) — pilot plus off-ramps],"*TR1*")</f>
        <v/>
      </c>
      <c r="Q18" s="3">
        <f>COUNTIF(tblResponses[F3-14 TR codes (select up to 3) — pilot plus off-ramps],"*TR2*")</f>
        <v/>
      </c>
      <c r="R18" s="3">
        <f>COUNTIF(tblResponses[F3-14 TR codes (select up to 3) — pilot plus off-ramps],"*TR3*")</f>
        <v/>
      </c>
      <c r="S18" s="3">
        <f>COUNTIF(tblResponses[F3-14 TR codes (select up to 3) — pilot plus off-ramps],"*TR4*")</f>
        <v/>
      </c>
      <c r="T18" s="3">
        <f>COUNTIF(tblResponses[F3-14 TR codes (select up to 3) — pilot plus off-ramps],"*TR5*")</f>
        <v/>
      </c>
      <c r="U18" s="3">
        <f>COUNTIF(tblResponses[F3-14 TR codes (select up to 3) — pilot plus off-ramps],"*TR6*")</f>
        <v/>
      </c>
      <c r="V18" s="3">
        <f>COUNTIF(tblResponses[F3-14 TR codes (select up to 3) — pilot plus off-ramps],"*TR7*")</f>
        <v/>
      </c>
      <c r="W18" s="3">
        <f>COUNTIF(tblResponses[F3-14 TR codes (select up to 3) — pilot plus off-ramps],"*TR8*")</f>
        <v/>
      </c>
    </row>
    <row r="19" ht="29" customHeight="1">
      <c r="A19" s="3" t="inlineStr">
        <is>
          <t>F3-15</t>
        </is>
      </c>
      <c r="B19" s="3" t="inlineStr">
        <is>
          <t>P-GGA</t>
        </is>
      </c>
      <c r="C19" s="3" t="inlineStr">
        <is>
          <t>notice plus consent where feasible</t>
        </is>
      </c>
      <c r="D19" s="3" t="inlineStr">
        <is>
          <t>Plain-language transparency (P-TPC) + Tiered permissioning (P-GGA)</t>
        </is>
      </c>
      <c r="E19" s="3">
        <f>COUNTIF(tblResponses[F3-15 approval — notice plus consent where feasible],"Approve")</f>
        <v/>
      </c>
      <c r="F19" s="3">
        <f>COUNTIF(tblResponses[F3-15 approval — notice plus consent where feasible],"Do not approve")</f>
        <v/>
      </c>
      <c r="G19" s="3">
        <f>COUNTIF(tblResponses[F3-15 approval — notice plus consent where feasible],"&lt;&gt;")</f>
        <v/>
      </c>
      <c r="H19" s="3">
        <f>IF(G19=0,0,E19/G19)</f>
        <v/>
      </c>
      <c r="I19" s="3">
        <f>IF(H19&gt;=0.8,"Green",IF(H19&gt;=0.6,"Yellow","Red"))</f>
        <v/>
      </c>
      <c r="J19" s="3">
        <f>COUNTIF(tblResponses[F3-15 comment (optional) — notice plus consent where feasible],"&lt;&gt;")</f>
        <v/>
      </c>
      <c r="K19" s="3">
        <f>IF(J19&gt;=10,0.2,IF(J19&gt;=5,0.1,0))</f>
        <v/>
      </c>
      <c r="L19" s="3">
        <f>SUM(P19:W19)</f>
        <v/>
      </c>
      <c r="M19" s="3">
        <f>INDEX($P$4:$W$4,MATCH(MAX(P19:W19),P19:W19,0))</f>
        <v/>
      </c>
      <c r="N19" s="3">
        <f>IF(L19=0,0,MAX(P19:W19)/L19)</f>
        <v/>
      </c>
      <c r="O19" s="3">
        <f>IF(G19=0,0,(F19/G19)*2 + N19 + K19)</f>
        <v/>
      </c>
      <c r="P19" s="3">
        <f>COUNTIF(tblResponses[F3-15 TR codes (select up to 3) — notice plus consent where feasible],"*TR1*")</f>
        <v/>
      </c>
      <c r="Q19" s="3">
        <f>COUNTIF(tblResponses[F3-15 TR codes (select up to 3) — notice plus consent where feasible],"*TR2*")</f>
        <v/>
      </c>
      <c r="R19" s="3">
        <f>COUNTIF(tblResponses[F3-15 TR codes (select up to 3) — notice plus consent where feasible],"*TR3*")</f>
        <v/>
      </c>
      <c r="S19" s="3">
        <f>COUNTIF(tblResponses[F3-15 TR codes (select up to 3) — notice plus consent where feasible],"*TR4*")</f>
        <v/>
      </c>
      <c r="T19" s="3">
        <f>COUNTIF(tblResponses[F3-15 TR codes (select up to 3) — notice plus consent where feasible],"*TR5*")</f>
        <v/>
      </c>
      <c r="U19" s="3">
        <f>COUNTIF(tblResponses[F3-15 TR codes (select up to 3) — notice plus consent where feasible],"*TR6*")</f>
        <v/>
      </c>
      <c r="V19" s="3">
        <f>COUNTIF(tblResponses[F3-15 TR codes (select up to 3) — notice plus consent where feasible],"*TR7*")</f>
        <v/>
      </c>
      <c r="W19" s="3">
        <f>COUNTIF(tblResponses[F3-15 TR codes (select up to 3) — notice plus consent where feasible],"*TR8*")</f>
        <v/>
      </c>
    </row>
    <row r="20" ht="29" customHeight="1">
      <c r="A20" s="3" t="inlineStr">
        <is>
          <t>F3-16</t>
        </is>
      </c>
      <c r="B20" s="3" t="inlineStr">
        <is>
          <t>P-LSD</t>
        </is>
      </c>
      <c r="C20" s="3" t="inlineStr">
        <is>
          <t>prevent cognitive offloading</t>
        </is>
      </c>
      <c r="D20" s="3" t="inlineStr">
        <is>
          <t>Deep skills first (P-LSD)</t>
        </is>
      </c>
      <c r="E20" s="3">
        <f>COUNTIF(tblResponses[F3-16 approval — prevent cognitive offloading],"Approve")</f>
        <v/>
      </c>
      <c r="F20" s="3">
        <f>COUNTIF(tblResponses[F3-16 approval — prevent cognitive offloading],"Do not approve")</f>
        <v/>
      </c>
      <c r="G20" s="3">
        <f>COUNTIF(tblResponses[F3-16 approval — prevent cognitive offloading],"&lt;&gt;")</f>
        <v/>
      </c>
      <c r="H20" s="3">
        <f>IF(G20=0,0,E20/G20)</f>
        <v/>
      </c>
      <c r="I20" s="3">
        <f>IF(H20&gt;=0.8,"Green",IF(H20&gt;=0.6,"Yellow","Red"))</f>
        <v/>
      </c>
      <c r="J20" s="3">
        <f>COUNTIF(tblResponses[F3-16 comment (optional) — prevent cognitive offloading],"&lt;&gt;")</f>
        <v/>
      </c>
      <c r="K20" s="3">
        <f>IF(J20&gt;=10,0.2,IF(J20&gt;=5,0.1,0))</f>
        <v/>
      </c>
      <c r="L20" s="3">
        <f>SUM(P20:W20)</f>
        <v/>
      </c>
      <c r="M20" s="3">
        <f>INDEX($P$4:$W$4,MATCH(MAX(P20:W20),P20:W20,0))</f>
        <v/>
      </c>
      <c r="N20" s="3">
        <f>IF(L20=0,0,MAX(P20:W20)/L20)</f>
        <v/>
      </c>
      <c r="O20" s="3">
        <f>IF(G20=0,0,(F20/G20)*2 + N20 + K20)</f>
        <v/>
      </c>
      <c r="P20" s="3">
        <f>COUNTIF(tblResponses[F3-16 TR codes (select up to 3) — prevent cognitive offloading],"*TR1*")</f>
        <v/>
      </c>
      <c r="Q20" s="3">
        <f>COUNTIF(tblResponses[F3-16 TR codes (select up to 3) — prevent cognitive offloading],"*TR2*")</f>
        <v/>
      </c>
      <c r="R20" s="3">
        <f>COUNTIF(tblResponses[F3-16 TR codes (select up to 3) — prevent cognitive offloading],"*TR3*")</f>
        <v/>
      </c>
      <c r="S20" s="3">
        <f>COUNTIF(tblResponses[F3-16 TR codes (select up to 3) — prevent cognitive offloading],"*TR4*")</f>
        <v/>
      </c>
      <c r="T20" s="3">
        <f>COUNTIF(tblResponses[F3-16 TR codes (select up to 3) — prevent cognitive offloading],"*TR5*")</f>
        <v/>
      </c>
      <c r="U20" s="3">
        <f>COUNTIF(tblResponses[F3-16 TR codes (select up to 3) — prevent cognitive offloading],"*TR6*")</f>
        <v/>
      </c>
      <c r="V20" s="3">
        <f>COUNTIF(tblResponses[F3-16 TR codes (select up to 3) — prevent cognitive offloading],"*TR7*")</f>
        <v/>
      </c>
      <c r="W20" s="3">
        <f>COUNTIF(tblResponses[F3-16 TR codes (select up to 3) — prevent cognitive offloading],"*TR8*")</f>
        <v/>
      </c>
    </row>
    <row r="21">
      <c r="A21" s="3" t="inlineStr">
        <is>
          <t>F3-17</t>
        </is>
      </c>
      <c r="B21" s="3" t="inlineStr">
        <is>
          <t>P-GGA</t>
        </is>
      </c>
      <c r="C21" s="3" t="inlineStr">
        <is>
          <t>risk-based restrictions</t>
        </is>
      </c>
      <c r="D21" s="3" t="inlineStr">
        <is>
          <t>Tiered permissioning (P-GGA)</t>
        </is>
      </c>
      <c r="E21" s="3">
        <f>COUNTIF(tblResponses[F3-17 approval — risk-based restrictions],"Approve")</f>
        <v/>
      </c>
      <c r="F21" s="3">
        <f>COUNTIF(tblResponses[F3-17 approval — risk-based restrictions],"Do not approve")</f>
        <v/>
      </c>
      <c r="G21" s="3">
        <f>COUNTIF(tblResponses[F3-17 approval — risk-based restrictions],"&lt;&gt;")</f>
        <v/>
      </c>
      <c r="H21" s="3">
        <f>IF(G21=0,0,E21/G21)</f>
        <v/>
      </c>
      <c r="I21" s="3">
        <f>IF(H21&gt;=0.8,"Green",IF(H21&gt;=0.6,"Yellow","Red"))</f>
        <v/>
      </c>
      <c r="J21" s="3">
        <f>COUNTIF(tblResponses[F3-17 comment (optional) — risk-based restrictions],"&lt;&gt;")</f>
        <v/>
      </c>
      <c r="K21" s="3">
        <f>IF(J21&gt;=10,0.2,IF(J21&gt;=5,0.1,0))</f>
        <v/>
      </c>
      <c r="L21" s="3">
        <f>SUM(P21:W21)</f>
        <v/>
      </c>
      <c r="M21" s="3">
        <f>INDEX($P$4:$W$4,MATCH(MAX(P21:W21),P21:W21,0))</f>
        <v/>
      </c>
      <c r="N21" s="3">
        <f>IF(L21=0,0,MAX(P21:W21)/L21)</f>
        <v/>
      </c>
      <c r="O21" s="3">
        <f>IF(G21=0,0,(F21/G21)*2 + N21 + K21)</f>
        <v/>
      </c>
      <c r="P21" s="3">
        <f>COUNTIF(tblResponses[F3-17 TR codes (select up to 3) — risk-based restrictions],"*TR1*")</f>
        <v/>
      </c>
      <c r="Q21" s="3">
        <f>COUNTIF(tblResponses[F3-17 TR codes (select up to 3) — risk-based restrictions],"*TR2*")</f>
        <v/>
      </c>
      <c r="R21" s="3">
        <f>COUNTIF(tblResponses[F3-17 TR codes (select up to 3) — risk-based restrictions],"*TR3*")</f>
        <v/>
      </c>
      <c r="S21" s="3">
        <f>COUNTIF(tblResponses[F3-17 TR codes (select up to 3) — risk-based restrictions],"*TR4*")</f>
        <v/>
      </c>
      <c r="T21" s="3">
        <f>COUNTIF(tblResponses[F3-17 TR codes (select up to 3) — risk-based restrictions],"*TR5*")</f>
        <v/>
      </c>
      <c r="U21" s="3">
        <f>COUNTIF(tblResponses[F3-17 TR codes (select up to 3) — risk-based restrictions],"*TR6*")</f>
        <v/>
      </c>
      <c r="V21" s="3">
        <f>COUNTIF(tblResponses[F3-17 TR codes (select up to 3) — risk-based restrictions],"*TR7*")</f>
        <v/>
      </c>
      <c r="W21" s="3">
        <f>COUNTIF(tblResponses[F3-17 TR codes (select up to 3) — risk-based restrictions],"*TR8*")</f>
        <v/>
      </c>
    </row>
    <row r="22">
      <c r="A22" s="3" t="inlineStr">
        <is>
          <t>F3-18</t>
        </is>
      </c>
      <c r="B22" s="3" t="inlineStr">
        <is>
          <t>P-LSD</t>
        </is>
      </c>
      <c r="C22" s="3" t="inlineStr">
        <is>
          <t>AI literacy</t>
        </is>
      </c>
      <c r="D22" s="3" t="inlineStr">
        <is>
          <t>(Potential standalone pillar)</t>
        </is>
      </c>
      <c r="E22" s="3">
        <f>COUNTIF(tblResponses[F3-18 approval — AI literacy],"Approve")</f>
        <v/>
      </c>
      <c r="F22" s="3">
        <f>COUNTIF(tblResponses[F3-18 approval — AI literacy],"Do not approve")</f>
        <v/>
      </c>
      <c r="G22" s="3">
        <f>COUNTIF(tblResponses[F3-18 approval — AI literacy],"&lt;&gt;")</f>
        <v/>
      </c>
      <c r="H22" s="3">
        <f>IF(G22=0,0,E22/G22)</f>
        <v/>
      </c>
      <c r="I22" s="3">
        <f>IF(H22&gt;=0.8,"Green",IF(H22&gt;=0.6,"Yellow","Red"))</f>
        <v/>
      </c>
      <c r="J22" s="3">
        <f>COUNTIF(tblResponses[F3-18 comment (optional) — AI literacy],"&lt;&gt;")</f>
        <v/>
      </c>
      <c r="K22" s="3">
        <f>IF(J22&gt;=10,0.2,IF(J22&gt;=5,0.1,0))</f>
        <v/>
      </c>
      <c r="L22" s="3">
        <f>SUM(P22:W22)</f>
        <v/>
      </c>
      <c r="M22" s="3">
        <f>INDEX($P$4:$W$4,MATCH(MAX(P22:W22),P22:W22,0))</f>
        <v/>
      </c>
      <c r="N22" s="3">
        <f>IF(L22=0,0,MAX(P22:W22)/L22)</f>
        <v/>
      </c>
      <c r="O22" s="3">
        <f>IF(G22=0,0,(F22/G22)*2 + N22 + K22)</f>
        <v/>
      </c>
      <c r="P22" s="3">
        <f>COUNTIF(tblResponses[F3-18 TR codes (select up to 3) — AI literacy],"*TR1*")</f>
        <v/>
      </c>
      <c r="Q22" s="3">
        <f>COUNTIF(tblResponses[F3-18 TR codes (select up to 3) — AI literacy],"*TR2*")</f>
        <v/>
      </c>
      <c r="R22" s="3">
        <f>COUNTIF(tblResponses[F3-18 TR codes (select up to 3) — AI literacy],"*TR3*")</f>
        <v/>
      </c>
      <c r="S22" s="3">
        <f>COUNTIF(tblResponses[F3-18 TR codes (select up to 3) — AI literacy],"*TR4*")</f>
        <v/>
      </c>
      <c r="T22" s="3">
        <f>COUNTIF(tblResponses[F3-18 TR codes (select up to 3) — AI literacy],"*TR5*")</f>
        <v/>
      </c>
      <c r="U22" s="3">
        <f>COUNTIF(tblResponses[F3-18 TR codes (select up to 3) — AI literacy],"*TR6*")</f>
        <v/>
      </c>
      <c r="V22" s="3">
        <f>COUNTIF(tblResponses[F3-18 TR codes (select up to 3) — AI literacy],"*TR7*")</f>
        <v/>
      </c>
      <c r="W22" s="3">
        <f>COUNTIF(tblResponses[F3-18 TR codes (select up to 3) — AI literacy],"*TR8*")</f>
        <v/>
      </c>
    </row>
    <row r="23" ht="29" customHeight="1">
      <c r="A23" s="3" t="inlineStr">
        <is>
          <t>F3-19</t>
        </is>
      </c>
      <c r="B23" s="3" t="inlineStr">
        <is>
          <t>P-GGA</t>
        </is>
      </c>
      <c r="C23" s="3" t="inlineStr">
        <is>
          <t>learning-evidence threshold</t>
        </is>
      </c>
      <c r="D23" s="3" t="inlineStr">
        <is>
          <t>Evidence-driven updates (P-GGA)</t>
        </is>
      </c>
      <c r="E23" s="3">
        <f>COUNTIF(tblResponses[F3-19 approval — learning-evidence threshold],"Approve")</f>
        <v/>
      </c>
      <c r="F23" s="3">
        <f>COUNTIF(tblResponses[F3-19 approval — learning-evidence threshold],"Do not approve")</f>
        <v/>
      </c>
      <c r="G23" s="3">
        <f>COUNTIF(tblResponses[F3-19 approval — learning-evidence threshold],"&lt;&gt;")</f>
        <v/>
      </c>
      <c r="H23" s="3">
        <f>IF(G23=0,0,E23/G23)</f>
        <v/>
      </c>
      <c r="I23" s="3">
        <f>IF(H23&gt;=0.8,"Green",IF(H23&gt;=0.6,"Yellow","Red"))</f>
        <v/>
      </c>
      <c r="J23" s="3">
        <f>COUNTIF(tblResponses[F3-19 comment (optional) — learning-evidence threshold],"&lt;&gt;")</f>
        <v/>
      </c>
      <c r="K23" s="3">
        <f>IF(J23&gt;=10,0.2,IF(J23&gt;=5,0.1,0))</f>
        <v/>
      </c>
      <c r="L23" s="3">
        <f>SUM(P23:W23)</f>
        <v/>
      </c>
      <c r="M23" s="3">
        <f>INDEX($P$4:$W$4,MATCH(MAX(P23:W23),P23:W23,0))</f>
        <v/>
      </c>
      <c r="N23" s="3">
        <f>IF(L23=0,0,MAX(P23:W23)/L23)</f>
        <v/>
      </c>
      <c r="O23" s="3">
        <f>IF(G23=0,0,(F23/G23)*2 + N23 + K23)</f>
        <v/>
      </c>
      <c r="P23" s="3">
        <f>COUNTIF(tblResponses[F3-19 TR codes (select up to 3) — learning-evidence threshold],"*TR1*")</f>
        <v/>
      </c>
      <c r="Q23" s="3">
        <f>COUNTIF(tblResponses[F3-19 TR codes (select up to 3) — learning-evidence threshold],"*TR2*")</f>
        <v/>
      </c>
      <c r="R23" s="3">
        <f>COUNTIF(tblResponses[F3-19 TR codes (select up to 3) — learning-evidence threshold],"*TR3*")</f>
        <v/>
      </c>
      <c r="S23" s="3">
        <f>COUNTIF(tblResponses[F3-19 TR codes (select up to 3) — learning-evidence threshold],"*TR4*")</f>
        <v/>
      </c>
      <c r="T23" s="3">
        <f>COUNTIF(tblResponses[F3-19 TR codes (select up to 3) — learning-evidence threshold],"*TR5*")</f>
        <v/>
      </c>
      <c r="U23" s="3">
        <f>COUNTIF(tblResponses[F3-19 TR codes (select up to 3) — learning-evidence threshold],"*TR6*")</f>
        <v/>
      </c>
      <c r="V23" s="3">
        <f>COUNTIF(tblResponses[F3-19 TR codes (select up to 3) — learning-evidence threshold],"*TR7*")</f>
        <v/>
      </c>
      <c r="W23" s="3">
        <f>COUNTIF(tblResponses[F3-19 TR codes (select up to 3) — learning-evidence threshold],"*TR8*")</f>
        <v/>
      </c>
    </row>
    <row r="24">
      <c r="A24" s="3" t="inlineStr">
        <is>
          <t>F3-20</t>
        </is>
      </c>
      <c r="B24" s="3" t="inlineStr">
        <is>
          <t>P-LSD</t>
        </is>
      </c>
      <c r="C24" s="3" t="inlineStr">
        <is>
          <t>human-centered learning</t>
        </is>
      </c>
      <c r="D24" s="3" t="inlineStr">
        <is>
          <t>(Optional merge into Deep skills first)</t>
        </is>
      </c>
      <c r="E24" s="3">
        <f>COUNTIF(tblResponses[F3-20 approval — human-centered learning],"Approve")</f>
        <v/>
      </c>
      <c r="F24" s="3">
        <f>COUNTIF(tblResponses[F3-20 approval — human-centered learning],"Do not approve")</f>
        <v/>
      </c>
      <c r="G24" s="3">
        <f>COUNTIF(tblResponses[F3-20 approval — human-centered learning],"&lt;&gt;")</f>
        <v/>
      </c>
      <c r="H24" s="3">
        <f>IF(G24=0,0,E24/G24)</f>
        <v/>
      </c>
      <c r="I24" s="3">
        <f>IF(H24&gt;=0.8,"Green",IF(H24&gt;=0.6,"Yellow","Red"))</f>
        <v/>
      </c>
      <c r="J24" s="3">
        <f>COUNTIF(tblResponses[F3-20 comment (optional) — human-centered learning],"&lt;&gt;")</f>
        <v/>
      </c>
      <c r="K24" s="3">
        <f>IF(J24&gt;=10,0.2,IF(J24&gt;=5,0.1,0))</f>
        <v/>
      </c>
      <c r="L24" s="3">
        <f>SUM(P24:W24)</f>
        <v/>
      </c>
      <c r="M24" s="3">
        <f>INDEX($P$4:$W$4,MATCH(MAX(P24:W24),P24:W24,0))</f>
        <v/>
      </c>
      <c r="N24" s="3">
        <f>IF(L24=0,0,MAX(P24:W24)/L24)</f>
        <v/>
      </c>
      <c r="O24" s="3">
        <f>IF(G24=0,0,(F24/G24)*2 + N24 + K24)</f>
        <v/>
      </c>
      <c r="P24" s="3">
        <f>COUNTIF(tblResponses[F3-20 TR codes (select up to 3) — human-centered learning],"*TR1*")</f>
        <v/>
      </c>
      <c r="Q24" s="3">
        <f>COUNTIF(tblResponses[F3-20 TR codes (select up to 3) — human-centered learning],"*TR2*")</f>
        <v/>
      </c>
      <c r="R24" s="3">
        <f>COUNTIF(tblResponses[F3-20 TR codes (select up to 3) — human-centered learning],"*TR3*")</f>
        <v/>
      </c>
      <c r="S24" s="3">
        <f>COUNTIF(tblResponses[F3-20 TR codes (select up to 3) — human-centered learning],"*TR4*")</f>
        <v/>
      </c>
      <c r="T24" s="3">
        <f>COUNTIF(tblResponses[F3-20 TR codes (select up to 3) — human-centered learning],"*TR5*")</f>
        <v/>
      </c>
      <c r="U24" s="3">
        <f>COUNTIF(tblResponses[F3-20 TR codes (select up to 3) — human-centered learning],"*TR6*")</f>
        <v/>
      </c>
      <c r="V24" s="3">
        <f>COUNTIF(tblResponses[F3-20 TR codes (select up to 3) — human-centered learning],"*TR7*")</f>
        <v/>
      </c>
      <c r="W24" s="3">
        <f>COUNTIF(tblResponses[F3-20 TR codes (select up to 3) — human-centered learning],"*TR8*")</f>
        <v/>
      </c>
    </row>
    <row r="25">
      <c r="A25" s="3" t="inlineStr">
        <is>
          <t>F3-21</t>
        </is>
      </c>
      <c r="B25" s="3" t="inlineStr">
        <is>
          <t>P-LSD</t>
        </is>
      </c>
      <c r="C25" s="3" t="inlineStr">
        <is>
          <t>visible thinking</t>
        </is>
      </c>
      <c r="D25" s="3" t="inlineStr">
        <is>
          <t>Deep skills first (P-LSD)</t>
        </is>
      </c>
      <c r="E25" s="3">
        <f>COUNTIF(tblResponses[F3-21 approval — visible thinking],"Approve")</f>
        <v/>
      </c>
      <c r="F25" s="3">
        <f>COUNTIF(tblResponses[F3-21 approval — visible thinking],"Do not approve")</f>
        <v/>
      </c>
      <c r="G25" s="3">
        <f>COUNTIF(tblResponses[F3-21 approval — visible thinking],"&lt;&gt;")</f>
        <v/>
      </c>
      <c r="H25" s="3">
        <f>IF(G25=0,0,E25/G25)</f>
        <v/>
      </c>
      <c r="I25" s="3">
        <f>IF(H25&gt;=0.8,"Green",IF(H25&gt;=0.6,"Yellow","Red"))</f>
        <v/>
      </c>
      <c r="J25" s="3">
        <f>COUNTIF(tblResponses[F3-21 comment (optional) — visible thinking],"&lt;&gt;")</f>
        <v/>
      </c>
      <c r="K25" s="3">
        <f>IF(J25&gt;=10,0.2,IF(J25&gt;=5,0.1,0))</f>
        <v/>
      </c>
      <c r="L25" s="3">
        <f>SUM(P25:W25)</f>
        <v/>
      </c>
      <c r="M25" s="3">
        <f>INDEX($P$4:$W$4,MATCH(MAX(P25:W25),P25:W25,0))</f>
        <v/>
      </c>
      <c r="N25" s="3">
        <f>IF(L25=0,0,MAX(P25:W25)/L25)</f>
        <v/>
      </c>
      <c r="O25" s="3">
        <f>IF(G25=0,0,(F25/G25)*2 + N25 + K25)</f>
        <v/>
      </c>
      <c r="P25" s="3">
        <f>COUNTIF(tblResponses[F3-21 TR codes (select up to 3) — visible thinking],"*TR1*")</f>
        <v/>
      </c>
      <c r="Q25" s="3">
        <f>COUNTIF(tblResponses[F3-21 TR codes (select up to 3) — visible thinking],"*TR2*")</f>
        <v/>
      </c>
      <c r="R25" s="3">
        <f>COUNTIF(tblResponses[F3-21 TR codes (select up to 3) — visible thinking],"*TR3*")</f>
        <v/>
      </c>
      <c r="S25" s="3">
        <f>COUNTIF(tblResponses[F3-21 TR codes (select up to 3) — visible thinking],"*TR4*")</f>
        <v/>
      </c>
      <c r="T25" s="3">
        <f>COUNTIF(tblResponses[F3-21 TR codes (select up to 3) — visible thinking],"*TR5*")</f>
        <v/>
      </c>
      <c r="U25" s="3">
        <f>COUNTIF(tblResponses[F3-21 TR codes (select up to 3) — visible thinking],"*TR6*")</f>
        <v/>
      </c>
      <c r="V25" s="3">
        <f>COUNTIF(tblResponses[F3-21 TR codes (select up to 3) — visible thinking],"*TR7*")</f>
        <v/>
      </c>
      <c r="W25" s="3">
        <f>COUNTIF(tblResponses[F3-21 TR codes (select up to 3) — visible thinking],"*TR8*")</f>
        <v/>
      </c>
    </row>
    <row r="26">
      <c r="A26" s="3" t="inlineStr">
        <is>
          <t>F3-22</t>
        </is>
      </c>
      <c r="B26" s="3" t="inlineStr">
        <is>
          <t>P-TPW</t>
        </is>
      </c>
      <c r="C26" s="3" t="inlineStr">
        <is>
          <t>teacher-owned feedback</t>
        </is>
      </c>
      <c r="D26" s="3" t="inlineStr">
        <is>
          <t>Teacher judgment leads (P-TPW)</t>
        </is>
      </c>
      <c r="E26" s="3">
        <f>COUNTIF(tblResponses[F3-22 approval — teacher-owned feedback],"Approve")</f>
        <v/>
      </c>
      <c r="F26" s="3">
        <f>COUNTIF(tblResponses[F3-22 approval — teacher-owned feedback],"Do not approve")</f>
        <v/>
      </c>
      <c r="G26" s="3">
        <f>COUNTIF(tblResponses[F3-22 approval — teacher-owned feedback],"&lt;&gt;")</f>
        <v/>
      </c>
      <c r="H26" s="3">
        <f>IF(G26=0,0,E26/G26)</f>
        <v/>
      </c>
      <c r="I26" s="3">
        <f>IF(H26&gt;=0.8,"Green",IF(H26&gt;=0.6,"Yellow","Red"))</f>
        <v/>
      </c>
      <c r="J26" s="3">
        <f>COUNTIF(tblResponses[F3-22 comment (optional) — teacher-owned feedback],"&lt;&gt;")</f>
        <v/>
      </c>
      <c r="K26" s="3">
        <f>IF(J26&gt;=10,0.2,IF(J26&gt;=5,0.1,0))</f>
        <v/>
      </c>
      <c r="L26" s="3">
        <f>SUM(P26:W26)</f>
        <v/>
      </c>
      <c r="M26" s="3">
        <f>INDEX($P$4:$W$4,MATCH(MAX(P26:W26),P26:W26,0))</f>
        <v/>
      </c>
      <c r="N26" s="3">
        <f>IF(L26=0,0,MAX(P26:W26)/L26)</f>
        <v/>
      </c>
      <c r="O26" s="3">
        <f>IF(G26=0,0,(F26/G26)*2 + N26 + K26)</f>
        <v/>
      </c>
      <c r="P26" s="3">
        <f>COUNTIF(tblResponses[F3-22 TR codes (select up to 3) — teacher-owned feedback],"*TR1*")</f>
        <v/>
      </c>
      <c r="Q26" s="3">
        <f>COUNTIF(tblResponses[F3-22 TR codes (select up to 3) — teacher-owned feedback],"*TR2*")</f>
        <v/>
      </c>
      <c r="R26" s="3">
        <f>COUNTIF(tblResponses[F3-22 TR codes (select up to 3) — teacher-owned feedback],"*TR3*")</f>
        <v/>
      </c>
      <c r="S26" s="3">
        <f>COUNTIF(tblResponses[F3-22 TR codes (select up to 3) — teacher-owned feedback],"*TR4*")</f>
        <v/>
      </c>
      <c r="T26" s="3">
        <f>COUNTIF(tblResponses[F3-22 TR codes (select up to 3) — teacher-owned feedback],"*TR5*")</f>
        <v/>
      </c>
      <c r="U26" s="3">
        <f>COUNTIF(tblResponses[F3-22 TR codes (select up to 3) — teacher-owned feedback],"*TR6*")</f>
        <v/>
      </c>
      <c r="V26" s="3">
        <f>COUNTIF(tblResponses[F3-22 TR codes (select up to 3) — teacher-owned feedback],"*TR7*")</f>
        <v/>
      </c>
      <c r="W26" s="3">
        <f>COUNTIF(tblResponses[F3-22 TR codes (select up to 3) — teacher-owned feedback],"*TR8*")</f>
        <v/>
      </c>
    </row>
    <row r="27" ht="29" customHeight="1">
      <c r="A27" s="3" t="inlineStr">
        <is>
          <t>F3-23</t>
        </is>
      </c>
      <c r="B27" s="3" t="inlineStr">
        <is>
          <t>P-TPW</t>
        </is>
      </c>
      <c r="C27" s="3" t="inlineStr">
        <is>
          <t>educator voice in governance</t>
        </is>
      </c>
      <c r="D27" s="3" t="inlineStr">
        <is>
          <t>Evidence-driven updates (P-GGA)</t>
        </is>
      </c>
      <c r="E27" s="3">
        <f>COUNTIF(tblResponses[F3-23 approval — educator voice in governance],"Approve")</f>
        <v/>
      </c>
      <c r="F27" s="3">
        <f>COUNTIF(tblResponses[F3-23 approval — educator voice in governance],"Do not approve")</f>
        <v/>
      </c>
      <c r="G27" s="3">
        <f>COUNTIF(tblResponses[F3-23 approval — educator voice in governance],"&lt;&gt;")</f>
        <v/>
      </c>
      <c r="H27" s="3">
        <f>IF(G27=0,0,E27/G27)</f>
        <v/>
      </c>
      <c r="I27" s="3">
        <f>IF(H27&gt;=0.8,"Green",IF(H27&gt;=0.6,"Yellow","Red"))</f>
        <v/>
      </c>
      <c r="J27" s="3">
        <f>COUNTIF(tblResponses[F3-23 comment (optional) — educator voice in governance],"&lt;&gt;")</f>
        <v/>
      </c>
      <c r="K27" s="3">
        <f>IF(J27&gt;=10,0.2,IF(J27&gt;=5,0.1,0))</f>
        <v/>
      </c>
      <c r="L27" s="3">
        <f>SUM(P27:W27)</f>
        <v/>
      </c>
      <c r="M27" s="3">
        <f>INDEX($P$4:$W$4,MATCH(MAX(P27:W27),P27:W27,0))</f>
        <v/>
      </c>
      <c r="N27" s="3">
        <f>IF(L27=0,0,MAX(P27:W27)/L27)</f>
        <v/>
      </c>
      <c r="O27" s="3">
        <f>IF(G27=0,0,(F27/G27)*2 + N27 + K27)</f>
        <v/>
      </c>
      <c r="P27" s="3">
        <f>COUNTIF(tblResponses[F3-23 TR codes (select up to 3) — educator voice in governance],"*TR1*")</f>
        <v/>
      </c>
      <c r="Q27" s="3">
        <f>COUNTIF(tblResponses[F3-23 TR codes (select up to 3) — educator voice in governance],"*TR2*")</f>
        <v/>
      </c>
      <c r="R27" s="3">
        <f>COUNTIF(tblResponses[F3-23 TR codes (select up to 3) — educator voice in governance],"*TR3*")</f>
        <v/>
      </c>
      <c r="S27" s="3">
        <f>COUNTIF(tblResponses[F3-23 TR codes (select up to 3) — educator voice in governance],"*TR4*")</f>
        <v/>
      </c>
      <c r="T27" s="3">
        <f>COUNTIF(tblResponses[F3-23 TR codes (select up to 3) — educator voice in governance],"*TR5*")</f>
        <v/>
      </c>
      <c r="U27" s="3">
        <f>COUNTIF(tblResponses[F3-23 TR codes (select up to 3) — educator voice in governance],"*TR6*")</f>
        <v/>
      </c>
      <c r="V27" s="3">
        <f>COUNTIF(tblResponses[F3-23 TR codes (select up to 3) — educator voice in governance],"*TR7*")</f>
        <v/>
      </c>
      <c r="W27" s="3">
        <f>COUNTIF(tblResponses[F3-23 TR codes (select up to 3) — educator voice in governance],"*TR8*")</f>
        <v/>
      </c>
    </row>
    <row r="28"/>
    <row r="29"/>
    <row r="30" ht="15.5" customHeight="1">
      <c r="A30" s="8" t="inlineStr">
        <is>
          <t>Tradeoff statements (T1–T7) summary</t>
        </is>
      </c>
    </row>
    <row r="31" ht="29" customHeight="1">
      <c r="A31" s="1" t="inlineStr">
        <is>
          <t>TradeoffID</t>
        </is>
      </c>
      <c r="B31" s="1" t="inlineStr">
        <is>
          <t>Label</t>
        </is>
      </c>
      <c r="C31" s="1" t="inlineStr">
        <is>
          <t>Option A</t>
        </is>
      </c>
      <c r="D31" s="1" t="inlineStr">
        <is>
          <t>Option B</t>
        </is>
      </c>
      <c r="E31" s="1" t="inlineStr">
        <is>
          <t>Option C</t>
        </is>
      </c>
      <c r="F31" s="1" t="inlineStr">
        <is>
          <t>Need more info</t>
        </is>
      </c>
      <c r="G31" s="1" t="inlineStr">
        <is>
          <t>Total</t>
        </is>
      </c>
      <c r="H31" s="1" t="inlineStr">
        <is>
          <t>Top share</t>
        </is>
      </c>
      <c r="I31" s="1" t="inlineStr">
        <is>
          <t>Convergence</t>
        </is>
      </c>
    </row>
    <row r="32" ht="29" customHeight="1">
      <c r="A32" s="9" t="inlineStr">
        <is>
          <t>T1</t>
        </is>
      </c>
      <c r="B32" s="3" t="inlineStr">
        <is>
          <t>Assessment validity: design-first vs restrictions</t>
        </is>
      </c>
      <c r="C32" s="9">
        <f>COUNTIF(tblResponses[T1 preferred policy posture],"Option A")</f>
        <v/>
      </c>
      <c r="D32" s="9">
        <f>COUNTIF(tblResponses[T1 preferred policy posture],"Option B")</f>
        <v/>
      </c>
      <c r="E32" s="9">
        <f>COUNTIF(tblResponses[T1 preferred policy posture],"Option C")</f>
        <v/>
      </c>
      <c r="F32" s="9">
        <f>COUNTIF(tblResponses[T1 preferred policy posture],"Need more info")</f>
        <v/>
      </c>
      <c r="G32" s="9">
        <f>SUM(C32:F32)</f>
        <v/>
      </c>
      <c r="H32" s="9">
        <f>IF(G32=0,0,MAX(C32:E32)/G32)</f>
        <v/>
      </c>
      <c r="I32" s="9">
        <f>IF(H32&gt;=0.6,"Strong",IF(H32&gt;=0.45,"Moderate","Split"))</f>
        <v/>
      </c>
    </row>
    <row r="33">
      <c r="A33" s="9" t="inlineStr">
        <is>
          <t>T2</t>
        </is>
      </c>
      <c r="B33" s="3" t="inlineStr">
        <is>
          <t>Detector posture</t>
        </is>
      </c>
      <c r="C33" s="9">
        <f>COUNTIF(tblResponses[T2 preferred policy posture],"Option A")</f>
        <v/>
      </c>
      <c r="D33" s="9">
        <f>COUNTIF(tblResponses[T2 preferred policy posture],"Option B")</f>
        <v/>
      </c>
      <c r="E33" s="9">
        <f>COUNTIF(tblResponses[T2 preferred policy posture],"Option C")</f>
        <v/>
      </c>
      <c r="F33" s="9">
        <f>COUNTIF(tblResponses[T2 preferred policy posture],"Need more info")</f>
        <v/>
      </c>
      <c r="G33" s="9">
        <f>SUM(C33:F33)</f>
        <v/>
      </c>
      <c r="H33" s="9">
        <f>IF(G33=0,0,MAX(C33:E33)/G33)</f>
        <v/>
      </c>
      <c r="I33" s="9">
        <f>IF(H33&gt;=0.6,"Strong",IF(H33&gt;=0.45,"Moderate","Split"))</f>
        <v/>
      </c>
    </row>
    <row r="34">
      <c r="A34" s="9" t="inlineStr">
        <is>
          <t>T3</t>
        </is>
      </c>
      <c r="B34" s="3" t="inlineStr">
        <is>
          <t>Student disclosure expectations</t>
        </is>
      </c>
      <c r="C34" s="9">
        <f>COUNTIF(tblResponses[T3 preferred policy posture],"Option A")</f>
        <v/>
      </c>
      <c r="D34" s="9">
        <f>COUNTIF(tblResponses[T3 preferred policy posture],"Option B")</f>
        <v/>
      </c>
      <c r="E34" s="9">
        <f>COUNTIF(tblResponses[T3 preferred policy posture],"Option C")</f>
        <v/>
      </c>
      <c r="F34" s="9">
        <f>COUNTIF(tblResponses[T3 preferred policy posture],"Need more info")</f>
        <v/>
      </c>
      <c r="G34" s="9">
        <f>SUM(C34:F34)</f>
        <v/>
      </c>
      <c r="H34" s="9">
        <f>IF(G34=0,0,MAX(C34:E34)/G34)</f>
        <v/>
      </c>
      <c r="I34" s="9">
        <f>IF(H34&gt;=0.6,"Strong",IF(H34&gt;=0.45,"Moderate","Split"))</f>
        <v/>
      </c>
    </row>
    <row r="35">
      <c r="A35" s="9" t="inlineStr">
        <is>
          <t>T4</t>
        </is>
      </c>
      <c r="B35" s="3" t="inlineStr">
        <is>
          <t>Notice/consent/opt-out</t>
        </is>
      </c>
      <c r="C35" s="9">
        <f>COUNTIF(tblResponses[T4 preferred policy posture],"Option A")</f>
        <v/>
      </c>
      <c r="D35" s="9">
        <f>COUNTIF(tblResponses[T4 preferred policy posture],"Option B")</f>
        <v/>
      </c>
      <c r="E35" s="9">
        <f>COUNTIF(tblResponses[T4 preferred policy posture],"Option C")</f>
        <v/>
      </c>
      <c r="F35" s="9">
        <f>COUNTIF(tblResponses[T4 preferred policy posture],"Need more info")</f>
        <v/>
      </c>
      <c r="G35" s="9">
        <f>SUM(C35:F35)</f>
        <v/>
      </c>
      <c r="H35" s="9">
        <f>IF(G35=0,0,MAX(C35:E35)/G35)</f>
        <v/>
      </c>
      <c r="I35" s="9">
        <f>IF(H35&gt;=0.6,"Strong",IF(H35&gt;=0.45,"Moderate","Split"))</f>
        <v/>
      </c>
    </row>
    <row r="36" ht="29" customHeight="1">
      <c r="A36" s="9" t="inlineStr">
        <is>
          <t>T5</t>
        </is>
      </c>
      <c r="B36" s="3" t="inlineStr">
        <is>
          <t>Teacher feedback and AI assistance</t>
        </is>
      </c>
      <c r="C36" s="9">
        <f>COUNTIF(tblResponses[T5 preferred policy posture],"Option A")</f>
        <v/>
      </c>
      <c r="D36" s="9">
        <f>COUNTIF(tblResponses[T5 preferred policy posture],"Option B")</f>
        <v/>
      </c>
      <c r="E36" s="9">
        <f>COUNTIF(tblResponses[T5 preferred policy posture],"Option C")</f>
        <v/>
      </c>
      <c r="F36" s="9">
        <f>COUNTIF(tblResponses[T5 preferred policy posture],"Need more info")</f>
        <v/>
      </c>
      <c r="G36" s="9">
        <f>SUM(C36:F36)</f>
        <v/>
      </c>
      <c r="H36" s="9">
        <f>IF(G36=0,0,MAX(C36:E36)/G36)</f>
        <v/>
      </c>
      <c r="I36" s="9">
        <f>IF(H36&gt;=0.6,"Strong",IF(H36&gt;=0.45,"Moderate","Split"))</f>
        <v/>
      </c>
    </row>
    <row r="37" ht="29" customHeight="1">
      <c r="A37" s="9" t="inlineStr">
        <is>
          <t>T6</t>
        </is>
      </c>
      <c r="B37" s="3" t="inlineStr">
        <is>
          <t>Pilots, evidence thresholds, off-ramps</t>
        </is>
      </c>
      <c r="C37" s="9">
        <f>COUNTIF(tblResponses[T6 preferred policy posture],"Option A")</f>
        <v/>
      </c>
      <c r="D37" s="9">
        <f>COUNTIF(tblResponses[T6 preferred policy posture],"Option B")</f>
        <v/>
      </c>
      <c r="E37" s="9">
        <f>COUNTIF(tblResponses[T6 preferred policy posture],"Option C")</f>
        <v/>
      </c>
      <c r="F37" s="9">
        <f>COUNTIF(tblResponses[T6 preferred policy posture],"Need more info")</f>
        <v/>
      </c>
      <c r="G37" s="9">
        <f>SUM(C37:F37)</f>
        <v/>
      </c>
      <c r="H37" s="9">
        <f>IF(G37=0,0,MAX(C37:E37)/G37)</f>
        <v/>
      </c>
      <c r="I37" s="9">
        <f>IF(H37&gt;=0.6,"Strong",IF(H37&gt;=0.45,"Moderate","Split"))</f>
        <v/>
      </c>
    </row>
    <row r="38" ht="29" customHeight="1">
      <c r="A38" s="9" t="inlineStr">
        <is>
          <t>T7</t>
        </is>
      </c>
      <c r="B38" s="3" t="inlineStr">
        <is>
          <t>Equity: non-AI path vs normalization</t>
        </is>
      </c>
      <c r="C38" s="9">
        <f>COUNTIF(tblResponses[T7 preferred policy posture],"Option A")</f>
        <v/>
      </c>
      <c r="D38" s="9">
        <f>COUNTIF(tblResponses[T7 preferred policy posture],"Option B")</f>
        <v/>
      </c>
      <c r="E38" s="9">
        <f>COUNTIF(tblResponses[T7 preferred policy posture],"Option C")</f>
        <v/>
      </c>
      <c r="F38" s="9">
        <f>COUNTIF(tblResponses[T7 preferred policy posture],"Need more info")</f>
        <v/>
      </c>
      <c r="G38" s="9">
        <f>SUM(C38:F38)</f>
        <v/>
      </c>
      <c r="H38" s="9">
        <f>IF(G38=0,0,MAX(C38:E38)/G38)</f>
        <v/>
      </c>
      <c r="I38" s="9">
        <f>IF(H38&gt;=0.6,"Strong",IF(H38&gt;=0.45,"Moderate","Split"))</f>
        <v/>
      </c>
    </row>
  </sheetData>
  <conditionalFormatting sqref="I5:I27">
    <cfRule type="expression" priority="1" dxfId="2">
      <formula>$I5="Green"</formula>
    </cfRule>
    <cfRule type="expression" priority="2" dxfId="1">
      <formula>$I5="Yellow"</formula>
    </cfRule>
    <cfRule type="expression" priority="3" dxfId="0">
      <formula>$I5="Red"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4.5"/>
  <cols>
    <col width="110" customWidth="1" min="1" max="1"/>
  </cols>
  <sheetData>
    <row r="1" ht="17" customHeight="1">
      <c r="A1" s="10" t="inlineStr">
        <is>
          <t>How to use this workbook</t>
        </is>
      </c>
    </row>
    <row r="2">
      <c r="A2" s="7" t="n"/>
    </row>
    <row r="3">
      <c r="A3" s="7" t="inlineStr">
        <is>
          <t>1) Export responses from Microsoft Forms to Excel.</t>
        </is>
      </c>
    </row>
    <row r="4">
      <c r="A4" s="7" t="inlineStr">
        <is>
          <t>2) Copy/paste response rows (not headers) into Responses_Raw -&gt; tblResponses under the existing headers. Alternatively, paste the entire Forms export (including headers) starting at A1 to replace the sheet.</t>
        </is>
      </c>
    </row>
    <row r="5">
      <c r="A5" s="7" t="inlineStr">
        <is>
          <t>3) Dashboard updates automatically (approval rates, TR lens counts, tradeoff option shares).</t>
        </is>
      </c>
    </row>
    <row r="6">
      <c r="A6" s="7" t="n"/>
    </row>
    <row r="7">
      <c r="A7" s="7" t="inlineStr">
        <is>
          <t>Optional: Use the Power Query scripts on PQ_Scripts to generate normalized tables for pivot tables.</t>
        </is>
      </c>
    </row>
    <row r="8">
      <c r="A8" s="7" t="n"/>
    </row>
    <row r="9">
      <c r="A9" s="7" t="inlineStr">
        <is>
          <t>Tables in this workbook: tblResponses, tblMap_F3, tblMap_TR.</t>
        </is>
      </c>
    </row>
    <row r="10">
      <c r="A10" s="7" t="n"/>
    </row>
    <row r="11">
      <c r="A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2026-02-21T12:56:34Z</dcterms:created>
  <dcterms:modified xmlns:dcterms="http://purl.org/dc/terms/" xmlns:xsi="http://www.w3.org/2001/XMLSchema-instance" xsi:type="dcterms:W3CDTF">2026-02-22T20:42:13Z</dcterms:modified>
  <cp:lastModifiedBy>John Black</cp:lastModifiedBy>
</cp:coreProperties>
</file>